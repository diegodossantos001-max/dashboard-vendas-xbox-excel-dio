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Bootcamp DIO\Desafio Projeto - Bootcamp TOTVS - Dashboard de vendas com Excel\"/>
    </mc:Choice>
  </mc:AlternateContent>
  <xr:revisionPtr revIDLastSave="0" documentId="13_ncr:1_{B4F98491-6885-4372-94B0-2A628D38A740}" xr6:coauthVersionLast="47" xr6:coauthVersionMax="47" xr10:uidLastSave="{00000000-0000-0000-0000-000000000000}"/>
  <bookViews>
    <workbookView xWindow="-108" yWindow="-108" windowWidth="23256" windowHeight="12456" tabRatio="32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3" l="1"/>
  <c r="F36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<sst xmlns="http://schemas.openxmlformats.org/spreadsheetml/2006/main" count="2022" uniqueCount="324">
  <si>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</si>
  <si>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</si>
  <si>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</si>
  <si>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</si>
  <si>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</si>
  <si>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</si>
  <si>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</si>
  <si>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</si>
  <si>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</si>
  <si>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</si>
  <si>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</si>
  <si>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</si>
  <si>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</si>
  <si>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</si>
  <si>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</si>
  <si>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</si>
  <si>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</si>
  <si>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</si>
  <si>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</si>
  <si>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</si>
  <si>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</si>
  <si>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</si>
  <si>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</si>
  <si>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</si>
  <si>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</si>
  <si>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</si>
  <si>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</si>
  <si>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</si>
  <si>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</si>
  <si>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</si>
  <si>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</si>
  <si>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</si>
  <si>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</si>
  <si>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</si>
  <si>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</si>
  <si>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</si>
  <si>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</si>
  <si>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</si>
  <si>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</si>
  <si>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</si>
  <si>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</si>
  <si>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</si>
  <si>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</si>
  <si>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</si>
  <si>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</si>
  <si>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</si>
  <si>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</si>
  <si>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</si>
  <si>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</si>
  <si>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</si>
  <si>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</si>
  <si>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</si>
  <si>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</si>
  <si>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</si>
  <si>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</si>
  <si>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</si>
  <si>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</si>
  <si>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</si>
  <si>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</si>
  <si>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</si>
  <si>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</si>
  <si>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</si>
  <si>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</si>
  <si>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</si>
  <si>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</si>
  <si>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</si>
  <si>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</si>
  <si>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</si>
  <si>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</si>
  <si>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</si>
  <si>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</si>
  <si>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</si>
  <si>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</si>
  <si>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</si>
  <si>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</si>
  <si>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</si>
  <si>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</si>
  <si>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</si>
  <si>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</si>
  <si>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</si>
  <si>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</si>
  <si>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</si>
  <si>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</si>
  <si>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</si>
  <si>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</si>
  <si>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</si>
  <si>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</si>
  <si>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</si>
  <si>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</si>
  <si>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</si>
  <si>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</si>
  <si>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</si>
  <si>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</si>
  <si>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</si>
  <si>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</si>
  <si>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</si>
  <si>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</si>
  <si>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</si>
  <si>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</si>
  <si>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</si>
  <si>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</si>
  <si>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</si>
  <si>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</si>
  <si>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</si>
  <si>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</si>
  <si>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</si>
  <si>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</si>
  <si>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</si>
  <si>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</si>
  <si>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</si>
  <si>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</si>
  <si>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</si>
  <si>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</si>
  <si>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</si>
  <si>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</si>
  <si>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</si>
  <si>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</si>
  <si>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</si>
  <si>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</si>
  <si>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</si>
  <si>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</si>
  <si>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</si>
  <si>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</si>
  <si>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</si>
  <si>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</si>
  <si>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</si>
  <si>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</si>
  <si>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</si>
  <si>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</si>
  <si>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</si>
  <si>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</si>
  <si>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</si>
  <si>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</si>
  <si>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</si>
  <si>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</si>
  <si>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</si>
  <si>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</si>
  <si>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</si>
  <si>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</si>
  <si>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</si>
  <si>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</si>
  <si>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</si>
  <si>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</si>
  <si>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</si>
  <si>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</si>
  <si>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</si>
  <si>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</si>
  <si>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</si>
  <si>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</si>
  <si>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</si>
  <si>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</si>
  <si>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</si>
  <si>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</si>
  <si>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</si>
  <si>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</si>
  <si>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</si>
  <si>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</si>
  <si>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</si>
  <si>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</si>
  <si>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</si>
  <si>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</si>
  <si>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</si>
  <si>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</si>
  <si>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</si>
  <si>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</si>
  <si>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</si>
  <si>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</si>
  <si>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</si>
  <si>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</si>
  <si>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</si>
  <si>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</si>
  <si>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</si>
  <si>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</si>
  <si>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</si>
  <si>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</si>
  <si>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</si>
  <si>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</si>
  <si>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</si>
  <si>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</si>
  <si>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</si>
  <si>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</si>
  <si>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</si>
  <si>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</si>
  <si>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</si>
  <si>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</si>
  <si>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</si>
  <si>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</si>
  <si>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</si>
  <si>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</si>
  <si>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</si>
  <si>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</si>
  <si>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</si>
  <si>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</si>
  <si>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</si>
  <si>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</si>
  <si>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</si>
  <si>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</si>
  <si>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</si>
  <si>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</si>
  <si>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</si>
  <si>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</si>
  <si>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</si>
  <si>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</si>
  <si>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</si>
  <si>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</si>
  <si>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</si>
  <si>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</si>
  <si>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</si>
  <si>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</si>
  <si>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</si>
  <si>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</si>
  <si>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</si>
  <si>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</si>
  <si>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</si>
  <si>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</si>
  <si>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</si>
  <si>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</si>
  <si>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</si>
  <si>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</si>
  <si>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</si>
  <si>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</si>
  <si>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</si>
  <si>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</si>
  <si>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</si>
  <si>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</si>
  <si>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</si>
  <si>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</si>
  <si>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</si>
  <si>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</si>
  <si>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</si>
  <si>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</si>
  <si>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</si>
  <si>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</si>
  <si>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</si>
  <si>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</si>
  <si>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</si>
  <si>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</si>
  <si>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</si>
  <si>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</si>
  <si>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</si>
  <si>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</si>
  <si>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</si>
  <si>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</si>
  <si>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</si>
  <si>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</si>
  <si>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</si>
  <si>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</si>
  <si>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</si>
  <si>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</si>
  <si>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</si>
  <si>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</si>
  <si>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</si>
  <si>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</si>
  <si>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</si>
  <si>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</si>
  <si>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</si>
  <si>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</si>
  <si>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</si>
  <si>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</si>
  <si>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</si>
  <si>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</si>
  <si>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</si>
  <si>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</si>
  <si>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</si>
  <si>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</si>
  <si>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</si>
  <si>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</si>
  <si>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</si>
  <si>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</si>
  <si>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</si>
  <si>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</si>
  <si>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</si>
  <si>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</si>
  <si>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</si>
  <si>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</si>
  <si>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</si>
  <si>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</si>
  <si>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</si>
  <si>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</si>
  <si>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</si>
  <si>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</si>
  <si>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</si>
  <si>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</si>
  <si>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</si>
  <si>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</si>
  <si>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</si>
  <si>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</si>
  <si>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</si>
  <si>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</si>
  <si>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</si>
  <si>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</si>
  <si>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</si>
  <si>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</si>
  <si>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</si>
  <si>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</si>
  <si>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</si>
  <si>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</si>
  <si>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</si>
  <si>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</si>
  <si>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</si>
  <si>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</si>
  <si>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</si>
  <si>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</si>
  <si>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</si>
  <si>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</si>
  <si>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</si>
  <si>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</si>
  <si>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</si>
  <si>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</si>
  <si>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</si>
  <si>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</si>
  <si>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</si>
  <si>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</si>
  <si>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</si>
  <si>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</si>
  <si>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</si>
  <si>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r>
      <t xml:space="preserve">Pergunta de Negocio 2 - Qual o faturamento </t>
    </r>
    <r>
      <rPr>
        <b/>
        <sz val="11"/>
        <color theme="1"/>
        <rFont val="Aptos Narrow"/>
        <family val="2"/>
        <scheme val="minor"/>
      </rPr>
      <t>Total de vendas de planos anuais</t>
    </r>
    <r>
      <rPr>
        <sz val="11"/>
        <color theme="1"/>
        <rFont val="Aptos Narrow"/>
        <family val="2"/>
        <scheme val="minor"/>
      </rPr>
      <t>, separado por auto renovação não e por auto renovação.</t>
    </r>
  </si>
  <si>
    <r>
      <rPr>
        <b/>
        <sz val="11"/>
        <color theme="1"/>
        <rFont val="Aptos Narrow"/>
        <family val="2"/>
        <scheme val="minor"/>
      </rPr>
      <t>Pergunta de Negocio 1</t>
    </r>
    <r>
      <rPr>
        <sz val="11"/>
        <color theme="1"/>
        <rFont val="Aptos Narrow"/>
        <family val="2"/>
        <scheme val="minor"/>
      </rPr>
      <t xml:space="preserve"> - Qual o faturamento </t>
    </r>
    <r>
      <rPr>
        <b/>
        <sz val="11"/>
        <color theme="1"/>
        <rFont val="Aptos Narrow"/>
        <family val="2"/>
        <scheme val="minor"/>
      </rPr>
      <t>Total de vendas de planos anuiais</t>
    </r>
    <r>
      <rPr>
        <sz val="11"/>
        <color theme="1"/>
        <rFont val="Aptos Narrow"/>
        <family val="2"/>
        <scheme val="minor"/>
      </rPr>
      <t xml:space="preserve"> ( Contendo todas as assinaturas agregadas)</t>
    </r>
  </si>
  <si>
    <t>Uma pergunta de negocios respondinda com base em alguma base de dados é uma informação.</t>
  </si>
  <si>
    <t>XBOX GAME PASS SUBSCRIPTION SALES</t>
  </si>
  <si>
    <t>Pergunta de Negocio 3 - total de vendas de assinaturas do EA Play.</t>
  </si>
  <si>
    <t>Soma de EA Play Season Pass</t>
  </si>
  <si>
    <t>Pergunta de negocio 4 - Total de Vendas de Assinaturas do Minecraft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</si>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</sst>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3" fillId="0" borderId="0" xfId="0" applyFont="1"/>
    <xf numFmtId="0" fontId="4" fillId="0" borderId="2" xfId="1" applyFont="1" applyBorder="1"/>
    <xf numFmtId="0" fontId="5" fillId="0" borderId="0" xfId="0" applyFont="1" applyAlignment="1">
      <alignment horizontal="center"/>
    </xf>
    <xf numFmtId="164" fontId="0" fillId="0" borderId="0" xfId="0" applyNumberFormat="1"/>
    <xf numFmtId="0" fontId="0" fillId="0" borderId="2" xfId="0" applyBorder="1"/>
    <xf numFmtId="0" fontId="4" fillId="0" borderId="2" xfId="1" applyFont="1" applyBorder="1" applyAlignment="1">
      <alignment horizontal="left" indent="11"/>
    </xf>
    <xf numFmtId="0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z val="12"/>
        <color theme="0"/>
      </font>
      <fill>
        <patternFill patternType="solid">
          <bgColor rgb="FF22C55E"/>
        </patternFill>
      </fill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2DF6A5FD-E763-4A52-9803-492DCF442C0B}">
      <tableStyleElement type="wholeTable" dxfId="15"/>
      <tableStyleElement type="headerRow" dxfId="14"/>
    </tableStyle>
  </tableStyles>
  <colors>
    <mruColors>
      <color rgb="FF22C55E"/>
      <color rgb="FF2AE6B1"/>
      <color rgb="FFE8E6E9"/>
      <color rgb="FF5BF6A8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microsoft.com/office/2022/10/relationships/richValueRel" Target="richData/richValueRel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Vendas xbox Game Pass.xlsx]C̳álculos!tbl_annual_total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</c:pivotFmt>
      <c:pivotFmt>
        <c:idx val="2"/>
        <c:spPr>
          <a:solidFill>
            <a:srgbClr val="22C55E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</c:pivotFmt>
      <c:pivotFmt>
        <c:idx val="5"/>
        <c:spPr>
          <a:solidFill>
            <a:srgbClr val="22C55E"/>
          </a:solidFill>
          <a:ln>
            <a:noFill/>
          </a:ln>
          <a:effectLst/>
        </c:spPr>
      </c:pivotFmt>
      <c:pivotFmt>
        <c:idx val="6"/>
        <c:spPr>
          <a:solidFill>
            <a:srgbClr val="107C1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107C10"/>
          </a:solidFill>
          <a:ln>
            <a:noFill/>
          </a:ln>
          <a:effectLst/>
        </c:spPr>
      </c:pivotFmt>
      <c:pivotFmt>
        <c:idx val="8"/>
        <c:spPr>
          <a:solidFill>
            <a:srgbClr val="107C10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8.0443837688301753E-2"/>
          <c:y val="5.5148262176570491E-2"/>
          <c:w val="0.88969631100305013"/>
          <c:h val="0.8802611957242368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07C1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07C1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7CB-46CE-9D7F-C91829BB3BE1}"/>
              </c:ext>
            </c:extLst>
          </c:dPt>
          <c:dPt>
            <c:idx val="1"/>
            <c:invertIfNegative val="0"/>
            <c:bubble3D val="0"/>
            <c:spPr>
              <a:solidFill>
                <a:srgbClr val="107C1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7CB-46CE-9D7F-C91829BB3BE1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CB-46CE-9D7F-C91829BB3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9376351"/>
        <c:axId val="946138447"/>
      </c:barChart>
      <c:catAx>
        <c:axId val="1089376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6138447"/>
        <c:crosses val="autoZero"/>
        <c:auto val="1"/>
        <c:lblAlgn val="ctr"/>
        <c:lblOffset val="100"/>
        <c:noMultiLvlLbl val="0"/>
      </c:catAx>
      <c:valAx>
        <c:axId val="946138447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89376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10" Type="http://schemas.openxmlformats.org/officeDocument/2006/relationships/image" Target="../media/image11.svg"/><Relationship Id="rId4" Type="http://schemas.openxmlformats.org/officeDocument/2006/relationships/image" Target="../media/image5.svg"/><Relationship Id="rId9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7" Type="http://schemas.openxmlformats.org/officeDocument/2006/relationships/image" Target="../media/image7.png"/><Relationship Id="rId2" Type="http://schemas.openxmlformats.org/officeDocument/2006/relationships/image" Target="../media/image8.png"/><Relationship Id="rId1" Type="http://schemas.openxmlformats.org/officeDocument/2006/relationships/image" Target="../media/image3.png"/><Relationship Id="rId6" Type="http://schemas.openxmlformats.org/officeDocument/2006/relationships/chart" Target="../charts/chart1.xml"/><Relationship Id="rId5" Type="http://schemas.openxmlformats.org/officeDocument/2006/relationships/image" Target="../media/image11.sv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12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12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304800</xdr:colOff>
      <xdr:row>9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107578</xdr:rowOff>
    </xdr:from>
    <xdr:to>
      <xdr:col>0</xdr:col>
      <xdr:colOff>1847850</xdr:colOff>
      <xdr:row>17</xdr:row>
      <xdr:rowOff>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B6908B51-CF93-4EC9-A133-E9CA92E3B7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160496"/>
              <a:ext cx="1847850" cy="15060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10647</xdr:colOff>
      <xdr:row>0</xdr:row>
      <xdr:rowOff>119903</xdr:rowOff>
    </xdr:from>
    <xdr:to>
      <xdr:col>3</xdr:col>
      <xdr:colOff>52775</xdr:colOff>
      <xdr:row>1</xdr:row>
      <xdr:rowOff>268942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A77E8B5-1E2F-40B6-BE73-55D89D8DE0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00" t="22324" r="72176" b="19174"/>
        <a:stretch>
          <a:fillRect/>
        </a:stretch>
      </xdr:blipFill>
      <xdr:spPr>
        <a:xfrm>
          <a:off x="2126318" y="119903"/>
          <a:ext cx="651728" cy="606239"/>
        </a:xfrm>
        <a:prstGeom prst="rect">
          <a:avLst/>
        </a:prstGeom>
      </xdr:spPr>
    </xdr:pic>
    <xdr:clientData/>
  </xdr:twoCellAnchor>
  <xdr:twoCellAnchor>
    <xdr:from>
      <xdr:col>2</xdr:col>
      <xdr:colOff>180975</xdr:colOff>
      <xdr:row>3</xdr:row>
      <xdr:rowOff>219075</xdr:rowOff>
    </xdr:from>
    <xdr:to>
      <xdr:col>13</xdr:col>
      <xdr:colOff>76200</xdr:colOff>
      <xdr:row>11</xdr:row>
      <xdr:rowOff>146893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5447B391-F5E1-49AB-4094-7B69D6E6B150}"/>
            </a:ext>
          </a:extLst>
        </xdr:cNvPr>
        <xdr:cNvGrpSpPr/>
      </xdr:nvGrpSpPr>
      <xdr:grpSpPr>
        <a:xfrm>
          <a:off x="2296646" y="1232087"/>
          <a:ext cx="6439460" cy="1505606"/>
          <a:chOff x="2276475" y="1285875"/>
          <a:chExt cx="6438900" cy="1518285"/>
        </a:xfrm>
      </xdr:grpSpPr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4E3BD775-A9A6-2089-8282-A1F318F5F7EB}"/>
              </a:ext>
            </a:extLst>
          </xdr:cNvPr>
          <xdr:cNvSpPr/>
        </xdr:nvSpPr>
        <xdr:spPr>
          <a:xfrm>
            <a:off x="2276475" y="1304925"/>
            <a:ext cx="6438900" cy="1485900"/>
          </a:xfrm>
          <a:prstGeom prst="roundRect">
            <a:avLst>
              <a:gd name="adj" fmla="val 833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3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D216D0D1-7D0A-4928-AADF-1629A918EA48}"/>
              </a:ext>
            </a:extLst>
          </xdr:cNvPr>
          <xdr:cNvSpPr/>
        </xdr:nvSpPr>
        <xdr:spPr>
          <a:xfrm>
            <a:off x="4410075" y="1857375"/>
            <a:ext cx="3705225" cy="781050"/>
          </a:xfrm>
          <a:prstGeom prst="roundRect">
            <a:avLst>
              <a:gd name="adj" fmla="val 4472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50F43A60-258F-4934-A47E-8119BE999DF2}" type="TxLink">
              <a:rPr lang="en-US" sz="28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R$ 990,00 </a:t>
            </a:fld>
            <a:endParaRPr lang="pt-BR" sz="28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2A5D80E2-DA45-4D12-90D3-0FFECF7F25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314700" y="1638300"/>
            <a:ext cx="1219200" cy="116586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8A51F670-F11D-CDD8-AE18-C8BA60DFC1EF}"/>
              </a:ext>
            </a:extLst>
          </xdr:cNvPr>
          <xdr:cNvSpPr/>
        </xdr:nvSpPr>
        <xdr:spPr>
          <a:xfrm>
            <a:off x="2276475" y="1285875"/>
            <a:ext cx="6438900" cy="46672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/>
              <a:t>TOTAL</a:t>
            </a:r>
            <a:r>
              <a:rPr lang="pt-BR" sz="1800" baseline="0"/>
              <a:t> SUBSCRIPTIONS EA PLAY SEASON</a:t>
            </a:r>
            <a:endParaRPr lang="pt-BR" sz="1800"/>
          </a:p>
        </xdr:txBody>
      </xdr:sp>
    </xdr:grpSp>
    <xdr:clientData/>
  </xdr:twoCellAnchor>
  <xdr:twoCellAnchor>
    <xdr:from>
      <xdr:col>14</xdr:col>
      <xdr:colOff>285750</xdr:colOff>
      <xdr:row>3</xdr:row>
      <xdr:rowOff>219075</xdr:rowOff>
    </xdr:from>
    <xdr:to>
      <xdr:col>25</xdr:col>
      <xdr:colOff>19050</xdr:colOff>
      <xdr:row>11</xdr:row>
      <xdr:rowOff>152399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A55F576D-DBA9-67F4-A95C-4D077AEB9A7E}"/>
            </a:ext>
          </a:extLst>
        </xdr:cNvPr>
        <xdr:cNvGrpSpPr/>
      </xdr:nvGrpSpPr>
      <xdr:grpSpPr>
        <a:xfrm>
          <a:off x="9555256" y="1232087"/>
          <a:ext cx="6438900" cy="1511112"/>
          <a:chOff x="9448800" y="1238250"/>
          <a:chExt cx="6438900" cy="1533524"/>
        </a:xfrm>
      </xdr:grpSpPr>
      <xdr:sp macro="" textlink="">
        <xdr:nvSpPr>
          <xdr:cNvPr id="22" name="Retângulo: Cantos Arredondados 21">
            <a:extLst>
              <a:ext uri="{FF2B5EF4-FFF2-40B4-BE49-F238E27FC236}">
                <a16:creationId xmlns:a16="http://schemas.microsoft.com/office/drawing/2014/main" id="{981B4742-5E0D-C77D-32DB-162A9D166B9F}"/>
              </a:ext>
            </a:extLst>
          </xdr:cNvPr>
          <xdr:cNvSpPr/>
        </xdr:nvSpPr>
        <xdr:spPr>
          <a:xfrm>
            <a:off x="9448800" y="1276349"/>
            <a:ext cx="6438900" cy="1495425"/>
          </a:xfrm>
          <a:prstGeom prst="roundRect">
            <a:avLst>
              <a:gd name="adj" fmla="val 833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36">
        <xdr:nvSpPr>
          <xdr:cNvPr id="23" name="Retângulo: Cantos Arredondados 22">
            <a:extLst>
              <a:ext uri="{FF2B5EF4-FFF2-40B4-BE49-F238E27FC236}">
                <a16:creationId xmlns:a16="http://schemas.microsoft.com/office/drawing/2014/main" id="{3002C5FE-2C76-A0A6-4A16-5A04BD121008}"/>
              </a:ext>
            </a:extLst>
          </xdr:cNvPr>
          <xdr:cNvSpPr/>
        </xdr:nvSpPr>
        <xdr:spPr>
          <a:xfrm>
            <a:off x="11858625" y="1819275"/>
            <a:ext cx="3705225" cy="781050"/>
          </a:xfrm>
          <a:prstGeom prst="roundRect">
            <a:avLst>
              <a:gd name="adj" fmla="val 4472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8324E26-912B-474B-A0C6-13734393CFBC}" type="TxLink">
              <a:rPr lang="en-US" sz="28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R$ 1.140,00 </a:t>
            </a:fld>
            <a:endParaRPr lang="pt-BR" sz="6000">
              <a:solidFill>
                <a:srgbClr val="22C55E"/>
              </a:solidFill>
            </a:endParaRPr>
          </a:p>
        </xdr:txBody>
      </xdr:sp>
      <xdr:sp macro="" textlink="">
        <xdr:nvSpPr>
          <xdr:cNvPr id="25" name="Retângulo: Cantos Superiores Arredondados 24">
            <a:extLst>
              <a:ext uri="{FF2B5EF4-FFF2-40B4-BE49-F238E27FC236}">
                <a16:creationId xmlns:a16="http://schemas.microsoft.com/office/drawing/2014/main" id="{F915A13B-D108-94C9-FB2C-96D7A3B365D9}"/>
              </a:ext>
            </a:extLst>
          </xdr:cNvPr>
          <xdr:cNvSpPr/>
        </xdr:nvSpPr>
        <xdr:spPr>
          <a:xfrm>
            <a:off x="9448800" y="1238250"/>
            <a:ext cx="6438900" cy="46672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/>
              <a:t>TOTAL</a:t>
            </a:r>
            <a:r>
              <a:rPr lang="pt-BR" sz="1800" baseline="0"/>
              <a:t> SUBSCRIPTIONS MINECRAFT SEASON PASS</a:t>
            </a:r>
            <a:endParaRPr lang="pt-BR" sz="1800"/>
          </a:p>
        </xdr:txBody>
      </xdr:sp>
      <xdr:grpSp>
        <xdr:nvGrpSpPr>
          <xdr:cNvPr id="29" name="Agrupar 28">
            <a:extLst>
              <a:ext uri="{FF2B5EF4-FFF2-40B4-BE49-F238E27FC236}">
                <a16:creationId xmlns:a16="http://schemas.microsoft.com/office/drawing/2014/main" id="{7A563624-EF39-4332-87EF-888DDF30811A}"/>
              </a:ext>
            </a:extLst>
          </xdr:cNvPr>
          <xdr:cNvGrpSpPr/>
        </xdr:nvGrpSpPr>
        <xdr:grpSpPr>
          <a:xfrm>
            <a:off x="10506075" y="1781175"/>
            <a:ext cx="1549476" cy="838200"/>
            <a:chOff x="3495675" y="5400674"/>
            <a:chExt cx="1549476" cy="752476"/>
          </a:xfrm>
        </xdr:grpSpPr>
        <xdr:pic>
          <xdr:nvPicPr>
            <xdr:cNvPr id="30" name="Imagem 29">
              <a:extLst>
                <a:ext uri="{FF2B5EF4-FFF2-40B4-BE49-F238E27FC236}">
                  <a16:creationId xmlns:a16="http://schemas.microsoft.com/office/drawing/2014/main" id="{CAA597AC-790E-0B68-DD19-EADE432E592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31" name="Gráfico 30">
              <a:extLst>
                <a:ext uri="{FF2B5EF4-FFF2-40B4-BE49-F238E27FC236}">
                  <a16:creationId xmlns:a16="http://schemas.microsoft.com/office/drawing/2014/main" id="{1580AB03-D6AD-E539-BC23-FA042C579A8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209550</xdr:colOff>
      <xdr:row>13</xdr:row>
      <xdr:rowOff>142875</xdr:rowOff>
    </xdr:from>
    <xdr:to>
      <xdr:col>25</xdr:col>
      <xdr:colOff>47625</xdr:colOff>
      <xdr:row>32</xdr:row>
      <xdr:rowOff>114300</xdr:rowOff>
    </xdr:to>
    <xdr:grpSp>
      <xdr:nvGrpSpPr>
        <xdr:cNvPr id="37" name="Agrupar 36">
          <a:extLst>
            <a:ext uri="{FF2B5EF4-FFF2-40B4-BE49-F238E27FC236}">
              <a16:creationId xmlns:a16="http://schemas.microsoft.com/office/drawing/2014/main" id="{63244DB6-A442-EA40-A1B9-A3393ACA10C2}"/>
            </a:ext>
          </a:extLst>
        </xdr:cNvPr>
        <xdr:cNvGrpSpPr/>
      </xdr:nvGrpSpPr>
      <xdr:grpSpPr>
        <a:xfrm>
          <a:off x="2325221" y="3092263"/>
          <a:ext cx="13697510" cy="3378013"/>
          <a:chOff x="2333625" y="3114675"/>
          <a:chExt cx="13696950" cy="3409950"/>
        </a:xfrm>
      </xdr:grpSpPr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2F8C7C81-F9BC-5B16-75A7-506ED0B82662}"/>
              </a:ext>
            </a:extLst>
          </xdr:cNvPr>
          <xdr:cNvSpPr/>
        </xdr:nvSpPr>
        <xdr:spPr>
          <a:xfrm>
            <a:off x="2333625" y="3143250"/>
            <a:ext cx="13687425" cy="3343274"/>
          </a:xfrm>
          <a:prstGeom prst="roundRect">
            <a:avLst>
              <a:gd name="adj" fmla="val 402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6" name="Gráfico 5">
            <a:extLst>
              <a:ext uri="{FF2B5EF4-FFF2-40B4-BE49-F238E27FC236}">
                <a16:creationId xmlns:a16="http://schemas.microsoft.com/office/drawing/2014/main" id="{BE4244FB-39BA-4304-A34B-1DCC3DE46080}"/>
              </a:ext>
            </a:extLst>
          </xdr:cNvPr>
          <xdr:cNvGraphicFramePr>
            <a:graphicFrameLocks/>
          </xdr:cNvGraphicFramePr>
        </xdr:nvGraphicFramePr>
        <xdr:xfrm>
          <a:off x="2922286" y="3771900"/>
          <a:ext cx="12189411" cy="27527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35" name="Retângulo: Cantos Superiores Arredondados 34">
            <a:extLst>
              <a:ext uri="{FF2B5EF4-FFF2-40B4-BE49-F238E27FC236}">
                <a16:creationId xmlns:a16="http://schemas.microsoft.com/office/drawing/2014/main" id="{72935E32-8595-7F87-25C3-D04C96581E63}"/>
              </a:ext>
            </a:extLst>
          </xdr:cNvPr>
          <xdr:cNvSpPr/>
        </xdr:nvSpPr>
        <xdr:spPr>
          <a:xfrm>
            <a:off x="2333625" y="3114675"/>
            <a:ext cx="13696950" cy="476250"/>
          </a:xfrm>
          <a:prstGeom prst="round2SameRect">
            <a:avLst/>
          </a:prstGeom>
          <a:solidFill>
            <a:srgbClr val="22C55E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000"/>
              <a:t>TOTAL</a:t>
            </a:r>
            <a:r>
              <a:rPr lang="pt-BR" sz="2000" baseline="0"/>
              <a:t> SUBSCRIPTIONS XBOX GAME PASS</a:t>
            </a:r>
            <a:endParaRPr lang="pt-BR" sz="2000"/>
          </a:p>
        </xdr:txBody>
      </xdr:sp>
    </xdr:grpSp>
    <xdr:clientData/>
  </xdr:twoCellAnchor>
  <xdr:twoCellAnchor editAs="absolute">
    <xdr:from>
      <xdr:col>0</xdr:col>
      <xdr:colOff>421340</xdr:colOff>
      <xdr:row>0</xdr:row>
      <xdr:rowOff>385481</xdr:rowOff>
    </xdr:from>
    <xdr:to>
      <xdr:col>0</xdr:col>
      <xdr:colOff>1371599</xdr:colOff>
      <xdr:row>4</xdr:row>
      <xdr:rowOff>17928</xdr:rowOff>
    </xdr:to>
    <xdr:sp macro="" textlink="">
      <xdr:nvSpPr>
        <xdr:cNvPr id="38" name="Elipse 37">
          <a:extLst>
            <a:ext uri="{FF2B5EF4-FFF2-40B4-BE49-F238E27FC236}">
              <a16:creationId xmlns:a16="http://schemas.microsoft.com/office/drawing/2014/main" id="{5606E11B-9439-4167-9DF2-F08EE3685FF7}"/>
            </a:ext>
          </a:extLst>
        </xdr:cNvPr>
        <xdr:cNvSpPr/>
      </xdr:nvSpPr>
      <xdr:spPr>
        <a:xfrm>
          <a:off x="421340" y="385481"/>
          <a:ext cx="950259" cy="92336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125506</xdr:colOff>
      <xdr:row>5</xdr:row>
      <xdr:rowOff>17929</xdr:rowOff>
    </xdr:from>
    <xdr:to>
      <xdr:col>0</xdr:col>
      <xdr:colOff>1739153</xdr:colOff>
      <xdr:row>7</xdr:row>
      <xdr:rowOff>35860</xdr:rowOff>
    </xdr:to>
    <xdr:sp macro="" textlink="">
      <xdr:nvSpPr>
        <xdr:cNvPr id="39" name="Retângulo 38">
          <a:extLst>
            <a:ext uri="{FF2B5EF4-FFF2-40B4-BE49-F238E27FC236}">
              <a16:creationId xmlns:a16="http://schemas.microsoft.com/office/drawing/2014/main" id="{E6A1DBFE-A08E-E5B9-48BC-30143201DEA7}"/>
            </a:ext>
          </a:extLst>
        </xdr:cNvPr>
        <xdr:cNvSpPr/>
      </xdr:nvSpPr>
      <xdr:spPr>
        <a:xfrm>
          <a:off x="125506" y="1398494"/>
          <a:ext cx="1613647" cy="268942"/>
        </a:xfrm>
        <a:prstGeom prst="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Bem</a:t>
          </a:r>
          <a:r>
            <a:rPr lang="pt-BR" sz="1100" baseline="0"/>
            <a:t> vindo </a:t>
          </a:r>
          <a:r>
            <a:rPr lang="pt-BR" sz="1400" baseline="0"/>
            <a:t>Gestor</a:t>
          </a:r>
          <a:endParaRPr lang="pt-BR" sz="1100"/>
        </a:p>
      </xdr:txBody>
    </xdr:sp>
    <xdr:clientData/>
  </xdr:twoCellAnchor>
  <xdr:twoCellAnchor editAs="absolute">
    <xdr:from>
      <xdr:col>0</xdr:col>
      <xdr:colOff>26895</xdr:colOff>
      <xdr:row>27</xdr:row>
      <xdr:rowOff>161364</xdr:rowOff>
    </xdr:from>
    <xdr:to>
      <xdr:col>0</xdr:col>
      <xdr:colOff>1783977</xdr:colOff>
      <xdr:row>30</xdr:row>
      <xdr:rowOff>116542</xdr:rowOff>
    </xdr:to>
    <xdr:sp macro="" textlink="">
      <xdr:nvSpPr>
        <xdr:cNvPr id="43" name="Retângulo 42">
          <a:extLst>
            <a:ext uri="{FF2B5EF4-FFF2-40B4-BE49-F238E27FC236}">
              <a16:creationId xmlns:a16="http://schemas.microsoft.com/office/drawing/2014/main" id="{D9C34211-44CF-4EA9-A9F1-0E9431F70AC4}"/>
            </a:ext>
          </a:extLst>
        </xdr:cNvPr>
        <xdr:cNvSpPr/>
      </xdr:nvSpPr>
      <xdr:spPr>
        <a:xfrm>
          <a:off x="26895" y="5620870"/>
          <a:ext cx="1757082" cy="493060"/>
        </a:xfrm>
        <a:prstGeom prst="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Periódo</a:t>
          </a:r>
          <a:r>
            <a:rPr lang="pt-BR" sz="1100" baseline="0"/>
            <a:t> de Apuração: 01/01/2024 a 31/12/2024</a:t>
          </a:r>
          <a:endParaRPr lang="pt-BR" sz="1100"/>
        </a:p>
      </xdr:txBody>
    </xdr:sp>
    <xdr:clientData/>
  </xdr:twoCellAnchor>
  <xdr:twoCellAnchor editAs="absolute">
    <xdr:from>
      <xdr:col>0</xdr:col>
      <xdr:colOff>35859</xdr:colOff>
      <xdr:row>30</xdr:row>
      <xdr:rowOff>143435</xdr:rowOff>
    </xdr:from>
    <xdr:to>
      <xdr:col>0</xdr:col>
      <xdr:colOff>1792941</xdr:colOff>
      <xdr:row>32</xdr:row>
      <xdr:rowOff>89646</xdr:rowOff>
    </xdr:to>
    <xdr:sp macro="" textlink="">
      <xdr:nvSpPr>
        <xdr:cNvPr id="44" name="Retângulo 43">
          <a:extLst>
            <a:ext uri="{FF2B5EF4-FFF2-40B4-BE49-F238E27FC236}">
              <a16:creationId xmlns:a16="http://schemas.microsoft.com/office/drawing/2014/main" id="{70A36A41-02E9-409C-BE42-356A2BC6D419}"/>
            </a:ext>
          </a:extLst>
        </xdr:cNvPr>
        <xdr:cNvSpPr/>
      </xdr:nvSpPr>
      <xdr:spPr>
        <a:xfrm>
          <a:off x="35859" y="6140823"/>
          <a:ext cx="1757082" cy="304799"/>
        </a:xfrm>
        <a:prstGeom prst="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Last</a:t>
          </a:r>
          <a:r>
            <a:rPr lang="pt-BR" sz="1100" baseline="0"/>
            <a:t> Update: 14/10/26 - 14h</a:t>
          </a:r>
          <a:endParaRPr lang="pt-B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ego dos Santos" refreshedDate="46309.433611805558" createdVersion="8" refreshedVersion="8" minRefreshableVersion="3" recordCount="295" xr:uid="{FC38C179-E877-42F3-A078-B53799D87CDB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95120917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x v="0"/>
    <x v="0"/>
    <s v="Yes"/>
    <n v="30"/>
    <s v="Yes"/>
    <n v="20"/>
    <n v="5"/>
    <n v="60"/>
  </r>
  <r>
    <n v="3232"/>
    <x v="1"/>
    <x v="1"/>
    <d v="2024-01-15T00:00:00"/>
    <x v="1"/>
    <x v="1"/>
    <x v="1"/>
    <s v="No"/>
    <s v="-"/>
    <s v="No"/>
    <n v="0"/>
    <n v="0"/>
    <n v="5"/>
  </r>
  <r>
    <n v="3233"/>
    <x v="2"/>
    <x v="2"/>
    <d v="2024-02-10T00:00:00"/>
    <x v="0"/>
    <x v="2"/>
    <x v="2"/>
    <s v="No"/>
    <s v="-"/>
    <s v="Yes"/>
    <n v="20"/>
    <n v="10"/>
    <n v="20"/>
  </r>
  <r>
    <n v="3234"/>
    <x v="3"/>
    <x v="0"/>
    <d v="2024-02-20T00:00:00"/>
    <x v="1"/>
    <x v="0"/>
    <x v="0"/>
    <s v="Yes"/>
    <n v="30"/>
    <s v="Yes"/>
    <n v="20"/>
    <n v="3"/>
    <n v="62"/>
  </r>
  <r>
    <n v="3235"/>
    <x v="4"/>
    <x v="1"/>
    <d v="2024-03-05T00:00:00"/>
    <x v="0"/>
    <x v="1"/>
    <x v="0"/>
    <s v="No"/>
    <s v="-"/>
    <s v="No"/>
    <n v="0"/>
    <n v="1"/>
    <n v="4"/>
  </r>
  <r>
    <n v="3236"/>
    <x v="5"/>
    <x v="2"/>
    <d v="2024-03-02T00:00:00"/>
    <x v="1"/>
    <x v="2"/>
    <x v="0"/>
    <s v="No"/>
    <s v="-"/>
    <s v="Yes"/>
    <n v="20"/>
    <n v="2"/>
    <n v="28"/>
  </r>
  <r>
    <n v="3237"/>
    <x v="6"/>
    <x v="0"/>
    <d v="2024-03-03T00:00:00"/>
    <x v="0"/>
    <x v="0"/>
    <x v="2"/>
    <s v="Yes"/>
    <n v="30"/>
    <s v="Yes"/>
    <n v="20"/>
    <n v="10"/>
    <n v="55"/>
  </r>
  <r>
    <n v="3238"/>
    <x v="7"/>
    <x v="1"/>
    <d v="2024-03-04T00:00:00"/>
    <x v="0"/>
    <x v="1"/>
    <x v="1"/>
    <s v="No"/>
    <s v="-"/>
    <s v="No"/>
    <n v="0"/>
    <n v="0"/>
    <n v="5"/>
  </r>
  <r>
    <n v="3239"/>
    <x v="8"/>
    <x v="0"/>
    <d v="2024-03-05T00:00:00"/>
    <x v="1"/>
    <x v="0"/>
    <x v="0"/>
    <s v="Yes"/>
    <n v="30"/>
    <s v="Yes"/>
    <n v="20"/>
    <n v="5"/>
    <n v="60"/>
  </r>
  <r>
    <n v="3240"/>
    <x v="9"/>
    <x v="2"/>
    <d v="2024-03-06T00:00:00"/>
    <x v="0"/>
    <x v="2"/>
    <x v="2"/>
    <s v="No"/>
    <s v="-"/>
    <s v="Yes"/>
    <n v="20"/>
    <n v="15"/>
    <n v="15"/>
  </r>
  <r>
    <n v="3241"/>
    <x v="10"/>
    <x v="1"/>
    <d v="2024-03-07T00:00:00"/>
    <x v="1"/>
    <x v="1"/>
    <x v="0"/>
    <s v="No"/>
    <s v="-"/>
    <s v="No"/>
    <n v="0"/>
    <n v="1"/>
    <n v="4"/>
  </r>
  <r>
    <n v="3242"/>
    <x v="11"/>
    <x v="0"/>
    <d v="2024-03-08T00:00:00"/>
    <x v="0"/>
    <x v="0"/>
    <x v="1"/>
    <s v="Yes"/>
    <n v="30"/>
    <s v="Yes"/>
    <n v="20"/>
    <n v="20"/>
    <n v="45"/>
  </r>
  <r>
    <n v="3243"/>
    <x v="12"/>
    <x v="2"/>
    <d v="2024-03-09T00:00:00"/>
    <x v="1"/>
    <x v="2"/>
    <x v="0"/>
    <s v="No"/>
    <s v="-"/>
    <s v="Yes"/>
    <n v="20"/>
    <n v="10"/>
    <n v="20"/>
  </r>
  <r>
    <n v="3244"/>
    <x v="13"/>
    <x v="1"/>
    <d v="2024-03-10T00:00:00"/>
    <x v="0"/>
    <x v="1"/>
    <x v="2"/>
    <s v="No"/>
    <s v="-"/>
    <s v="No"/>
    <n v="0"/>
    <n v="0"/>
    <n v="5"/>
  </r>
  <r>
    <n v="3245"/>
    <x v="14"/>
    <x v="0"/>
    <d v="2024-03-11T00:00:00"/>
    <x v="1"/>
    <x v="0"/>
    <x v="0"/>
    <s v="Yes"/>
    <n v="30"/>
    <s v="Yes"/>
    <n v="20"/>
    <n v="8"/>
    <n v="57"/>
  </r>
  <r>
    <n v="3246"/>
    <x v="15"/>
    <x v="2"/>
    <d v="2024-03-12T00:00:00"/>
    <x v="0"/>
    <x v="2"/>
    <x v="1"/>
    <s v="No"/>
    <s v="-"/>
    <s v="Yes"/>
    <n v="20"/>
    <n v="12"/>
    <n v="18"/>
  </r>
  <r>
    <n v="3247"/>
    <x v="16"/>
    <x v="1"/>
    <d v="2024-03-13T00:00:00"/>
    <x v="1"/>
    <x v="1"/>
    <x v="0"/>
    <s v="No"/>
    <s v="-"/>
    <s v="No"/>
    <n v="0"/>
    <n v="2"/>
    <n v="3"/>
  </r>
  <r>
    <n v="3248"/>
    <x v="17"/>
    <x v="0"/>
    <d v="2024-03-14T00:00:00"/>
    <x v="0"/>
    <x v="0"/>
    <x v="2"/>
    <s v="Yes"/>
    <n v="30"/>
    <s v="Yes"/>
    <n v="20"/>
    <n v="7"/>
    <n v="58"/>
  </r>
  <r>
    <n v="3249"/>
    <x v="18"/>
    <x v="2"/>
    <d v="2024-03-15T00:00:00"/>
    <x v="1"/>
    <x v="2"/>
    <x v="0"/>
    <s v="No"/>
    <s v="-"/>
    <s v="Yes"/>
    <n v="20"/>
    <n v="5"/>
    <n v="25"/>
  </r>
  <r>
    <n v="3250"/>
    <x v="19"/>
    <x v="1"/>
    <d v="2024-03-16T00:00:00"/>
    <x v="0"/>
    <x v="1"/>
    <x v="1"/>
    <s v="No"/>
    <s v="-"/>
    <s v="No"/>
    <n v="0"/>
    <n v="0"/>
    <n v="5"/>
  </r>
  <r>
    <n v="3251"/>
    <x v="20"/>
    <x v="0"/>
    <d v="2024-03-17T00:00:00"/>
    <x v="1"/>
    <x v="0"/>
    <x v="0"/>
    <s v="Yes"/>
    <n v="30"/>
    <s v="Yes"/>
    <n v="20"/>
    <n v="3"/>
    <n v="62"/>
  </r>
  <r>
    <n v="3252"/>
    <x v="21"/>
    <x v="2"/>
    <d v="2024-03-18T00:00:00"/>
    <x v="0"/>
    <x v="2"/>
    <x v="2"/>
    <s v="No"/>
    <s v="-"/>
    <s v="Yes"/>
    <n v="20"/>
    <n v="15"/>
    <n v="15"/>
  </r>
  <r>
    <n v="3253"/>
    <x v="22"/>
    <x v="1"/>
    <d v="2024-03-19T00:00:00"/>
    <x v="1"/>
    <x v="1"/>
    <x v="0"/>
    <s v="No"/>
    <s v="-"/>
    <s v="No"/>
    <n v="0"/>
    <n v="1"/>
    <n v="4"/>
  </r>
  <r>
    <n v="3254"/>
    <x v="23"/>
    <x v="0"/>
    <d v="2024-03-20T00:00:00"/>
    <x v="0"/>
    <x v="0"/>
    <x v="1"/>
    <s v="Yes"/>
    <n v="30"/>
    <s v="Yes"/>
    <n v="20"/>
    <n v="20"/>
    <n v="45"/>
  </r>
  <r>
    <n v="3255"/>
    <x v="24"/>
    <x v="2"/>
    <d v="2024-03-21T00:00:00"/>
    <x v="1"/>
    <x v="2"/>
    <x v="0"/>
    <s v="No"/>
    <s v="-"/>
    <s v="Yes"/>
    <n v="20"/>
    <n v="10"/>
    <n v="20"/>
  </r>
  <r>
    <n v="3256"/>
    <x v="25"/>
    <x v="1"/>
    <d v="2024-03-22T00:00:00"/>
    <x v="0"/>
    <x v="1"/>
    <x v="2"/>
    <s v="No"/>
    <s v="-"/>
    <s v="No"/>
    <n v="0"/>
    <n v="0"/>
    <n v="5"/>
  </r>
  <r>
    <n v="3257"/>
    <x v="26"/>
    <x v="0"/>
    <d v="2024-03-23T00:00:00"/>
    <x v="1"/>
    <x v="0"/>
    <x v="0"/>
    <s v="Yes"/>
    <n v="30"/>
    <s v="Yes"/>
    <n v="20"/>
    <n v="5"/>
    <n v="60"/>
  </r>
  <r>
    <n v="3258"/>
    <x v="27"/>
    <x v="2"/>
    <d v="2024-03-24T00:00:00"/>
    <x v="0"/>
    <x v="2"/>
    <x v="1"/>
    <s v="No"/>
    <s v="-"/>
    <s v="Yes"/>
    <n v="20"/>
    <n v="15"/>
    <n v="15"/>
  </r>
  <r>
    <n v="3259"/>
    <x v="28"/>
    <x v="1"/>
    <d v="2024-03-25T00:00:00"/>
    <x v="1"/>
    <x v="1"/>
    <x v="0"/>
    <s v="No"/>
    <s v="-"/>
    <s v="No"/>
    <n v="0"/>
    <n v="1"/>
    <n v="4"/>
  </r>
  <r>
    <n v="3260"/>
    <x v="29"/>
    <x v="0"/>
    <d v="2024-03-26T00:00:00"/>
    <x v="0"/>
    <x v="0"/>
    <x v="2"/>
    <s v="Yes"/>
    <n v="30"/>
    <s v="Yes"/>
    <n v="20"/>
    <n v="7"/>
    <n v="58"/>
  </r>
  <r>
    <n v="3261"/>
    <x v="30"/>
    <x v="2"/>
    <d v="2024-03-27T00:00:00"/>
    <x v="1"/>
    <x v="2"/>
    <x v="0"/>
    <s v="No"/>
    <s v="-"/>
    <s v="Yes"/>
    <n v="20"/>
    <n v="10"/>
    <n v="20"/>
  </r>
  <r>
    <n v="3262"/>
    <x v="31"/>
    <x v="1"/>
    <d v="2024-03-28T00:00:00"/>
    <x v="0"/>
    <x v="1"/>
    <x v="1"/>
    <s v="No"/>
    <s v="-"/>
    <s v="No"/>
    <n v="0"/>
    <n v="0"/>
    <n v="5"/>
  </r>
  <r>
    <n v="3263"/>
    <x v="32"/>
    <x v="0"/>
    <d v="2024-03-29T00:00:00"/>
    <x v="1"/>
    <x v="0"/>
    <x v="0"/>
    <s v="Yes"/>
    <n v="30"/>
    <s v="Yes"/>
    <n v="20"/>
    <n v="3"/>
    <n v="62"/>
  </r>
  <r>
    <n v="3264"/>
    <x v="33"/>
    <x v="2"/>
    <d v="2024-03-30T00:00:00"/>
    <x v="0"/>
    <x v="2"/>
    <x v="2"/>
    <s v="No"/>
    <s v="-"/>
    <s v="Yes"/>
    <n v="20"/>
    <n v="15"/>
    <n v="15"/>
  </r>
  <r>
    <n v="3265"/>
    <x v="34"/>
    <x v="1"/>
    <d v="2024-03-31T00:00:00"/>
    <x v="1"/>
    <x v="1"/>
    <x v="0"/>
    <s v="No"/>
    <s v="-"/>
    <s v="No"/>
    <n v="0"/>
    <n v="1"/>
    <n v="4"/>
  </r>
  <r>
    <n v="3266"/>
    <x v="35"/>
    <x v="1"/>
    <d v="2024-04-01T00:00:00"/>
    <x v="0"/>
    <x v="1"/>
    <x v="0"/>
    <s v="No"/>
    <s v="-"/>
    <s v="No"/>
    <n v="0"/>
    <n v="0"/>
    <n v="5"/>
  </r>
  <r>
    <n v="3267"/>
    <x v="36"/>
    <x v="0"/>
    <d v="2024-04-02T00:00:00"/>
    <x v="1"/>
    <x v="0"/>
    <x v="2"/>
    <s v="Yes"/>
    <n v="30"/>
    <s v="Yes"/>
    <n v="20"/>
    <n v="7"/>
    <n v="58"/>
  </r>
  <r>
    <n v="3268"/>
    <x v="37"/>
    <x v="2"/>
    <d v="2024-04-03T00:00:00"/>
    <x v="0"/>
    <x v="2"/>
    <x v="1"/>
    <s v="No"/>
    <s v="-"/>
    <s v="Yes"/>
    <n v="20"/>
    <n v="10"/>
    <n v="20"/>
  </r>
  <r>
    <n v="3269"/>
    <x v="38"/>
    <x v="1"/>
    <d v="2024-04-04T00:00:00"/>
    <x v="1"/>
    <x v="1"/>
    <x v="2"/>
    <s v="No"/>
    <s v="-"/>
    <s v="No"/>
    <n v="0"/>
    <n v="1"/>
    <n v="4"/>
  </r>
  <r>
    <n v="3270"/>
    <x v="39"/>
    <x v="0"/>
    <d v="2024-04-05T00:00:00"/>
    <x v="0"/>
    <x v="0"/>
    <x v="0"/>
    <s v="Yes"/>
    <n v="30"/>
    <s v="Yes"/>
    <n v="20"/>
    <n v="15"/>
    <n v="50"/>
  </r>
  <r>
    <n v="3271"/>
    <x v="40"/>
    <x v="2"/>
    <d v="2024-04-06T00:00:00"/>
    <x v="1"/>
    <x v="2"/>
    <x v="0"/>
    <s v="No"/>
    <s v="-"/>
    <s v="Yes"/>
    <n v="20"/>
    <n v="5"/>
    <n v="25"/>
  </r>
  <r>
    <n v="3272"/>
    <x v="41"/>
    <x v="1"/>
    <d v="2024-04-07T00:00:00"/>
    <x v="0"/>
    <x v="1"/>
    <x v="1"/>
    <s v="No"/>
    <s v="-"/>
    <s v="No"/>
    <n v="0"/>
    <n v="0"/>
    <n v="5"/>
  </r>
  <r>
    <n v="3273"/>
    <x v="42"/>
    <x v="0"/>
    <d v="2024-04-08T00:00:00"/>
    <x v="1"/>
    <x v="0"/>
    <x v="2"/>
    <s v="Yes"/>
    <n v="30"/>
    <s v="Yes"/>
    <n v="20"/>
    <n v="20"/>
    <n v="45"/>
  </r>
  <r>
    <n v="3274"/>
    <x v="43"/>
    <x v="2"/>
    <d v="2024-04-09T00:00:00"/>
    <x v="0"/>
    <x v="2"/>
    <x v="2"/>
    <s v="No"/>
    <s v="-"/>
    <s v="Yes"/>
    <n v="20"/>
    <n v="12"/>
    <n v="18"/>
  </r>
  <r>
    <n v="3275"/>
    <x v="44"/>
    <x v="1"/>
    <d v="2024-04-10T00:00:00"/>
    <x v="1"/>
    <x v="1"/>
    <x v="0"/>
    <s v="No"/>
    <s v="-"/>
    <s v="No"/>
    <n v="0"/>
    <n v="2"/>
    <n v="3"/>
  </r>
  <r>
    <n v="3276"/>
    <x v="45"/>
    <x v="0"/>
    <d v="2024-04-11T00:00:00"/>
    <x v="0"/>
    <x v="0"/>
    <x v="1"/>
    <s v="Yes"/>
    <n v="30"/>
    <s v="Yes"/>
    <n v="20"/>
    <n v="5"/>
    <n v="60"/>
  </r>
  <r>
    <n v="3277"/>
    <x v="46"/>
    <x v="2"/>
    <d v="2024-04-12T00:00:00"/>
    <x v="1"/>
    <x v="2"/>
    <x v="0"/>
    <s v="No"/>
    <s v="-"/>
    <s v="Yes"/>
    <n v="20"/>
    <n v="10"/>
    <n v="20"/>
  </r>
  <r>
    <n v="3278"/>
    <x v="47"/>
    <x v="1"/>
    <d v="2024-04-13T00:00:00"/>
    <x v="0"/>
    <x v="1"/>
    <x v="2"/>
    <s v="No"/>
    <s v="-"/>
    <s v="No"/>
    <n v="0"/>
    <n v="0"/>
    <n v="5"/>
  </r>
  <r>
    <n v="3279"/>
    <x v="48"/>
    <x v="0"/>
    <d v="2024-04-14T00:00:00"/>
    <x v="1"/>
    <x v="0"/>
    <x v="0"/>
    <s v="Yes"/>
    <n v="30"/>
    <s v="Yes"/>
    <n v="20"/>
    <n v="3"/>
    <n v="62"/>
  </r>
  <r>
    <n v="3280"/>
    <x v="49"/>
    <x v="2"/>
    <d v="2024-04-15T00:00:00"/>
    <x v="0"/>
    <x v="2"/>
    <x v="1"/>
    <s v="No"/>
    <s v="-"/>
    <s v="Yes"/>
    <n v="20"/>
    <n v="15"/>
    <n v="15"/>
  </r>
  <r>
    <n v="3281"/>
    <x v="50"/>
    <x v="1"/>
    <d v="2024-04-16T00:00:00"/>
    <x v="1"/>
    <x v="1"/>
    <x v="0"/>
    <s v="No"/>
    <s v="-"/>
    <s v="No"/>
    <n v="0"/>
    <n v="1"/>
    <n v="4"/>
  </r>
  <r>
    <n v="3282"/>
    <x v="51"/>
    <x v="0"/>
    <d v="2024-04-17T00:00:00"/>
    <x v="0"/>
    <x v="0"/>
    <x v="2"/>
    <s v="Yes"/>
    <n v="30"/>
    <s v="Yes"/>
    <n v="20"/>
    <n v="7"/>
    <n v="58"/>
  </r>
  <r>
    <n v="3283"/>
    <x v="52"/>
    <x v="2"/>
    <d v="2024-04-18T00:00:00"/>
    <x v="1"/>
    <x v="2"/>
    <x v="0"/>
    <s v="No"/>
    <s v="-"/>
    <s v="Yes"/>
    <n v="20"/>
    <n v="10"/>
    <n v="20"/>
  </r>
  <r>
    <n v="3284"/>
    <x v="53"/>
    <x v="1"/>
    <d v="2024-04-19T00:00:00"/>
    <x v="0"/>
    <x v="1"/>
    <x v="1"/>
    <s v="No"/>
    <s v="-"/>
    <s v="No"/>
    <n v="0"/>
    <n v="0"/>
    <n v="5"/>
  </r>
  <r>
    <n v="3285"/>
    <x v="54"/>
    <x v="0"/>
    <d v="2024-04-20T00:00:00"/>
    <x v="1"/>
    <x v="0"/>
    <x v="0"/>
    <s v="Yes"/>
    <n v="30"/>
    <s v="Yes"/>
    <n v="20"/>
    <n v="20"/>
    <n v="45"/>
  </r>
  <r>
    <n v="3286"/>
    <x v="55"/>
    <x v="2"/>
    <d v="2024-04-21T00:00:00"/>
    <x v="0"/>
    <x v="2"/>
    <x v="2"/>
    <s v="No"/>
    <s v="-"/>
    <s v="Yes"/>
    <n v="20"/>
    <n v="15"/>
    <n v="15"/>
  </r>
  <r>
    <n v="3287"/>
    <x v="56"/>
    <x v="1"/>
    <d v="2024-04-22T00:00:00"/>
    <x v="1"/>
    <x v="1"/>
    <x v="0"/>
    <s v="No"/>
    <s v="-"/>
    <s v="No"/>
    <n v="0"/>
    <n v="1"/>
    <n v="4"/>
  </r>
  <r>
    <n v="3288"/>
    <x v="57"/>
    <x v="0"/>
    <d v="2024-04-23T00:00:00"/>
    <x v="0"/>
    <x v="0"/>
    <x v="1"/>
    <s v="Yes"/>
    <n v="30"/>
    <s v="Yes"/>
    <n v="20"/>
    <n v="3"/>
    <n v="62"/>
  </r>
  <r>
    <n v="3289"/>
    <x v="58"/>
    <x v="2"/>
    <d v="2024-04-24T00:00:00"/>
    <x v="1"/>
    <x v="2"/>
    <x v="0"/>
    <s v="No"/>
    <s v="-"/>
    <s v="Yes"/>
    <n v="20"/>
    <n v="10"/>
    <n v="20"/>
  </r>
  <r>
    <n v="3290"/>
    <x v="59"/>
    <x v="1"/>
    <d v="2024-04-25T00:00:00"/>
    <x v="0"/>
    <x v="1"/>
    <x v="2"/>
    <s v="No"/>
    <s v="-"/>
    <s v="No"/>
    <n v="0"/>
    <n v="0"/>
    <n v="5"/>
  </r>
  <r>
    <n v="3291"/>
    <x v="60"/>
    <x v="0"/>
    <d v="2024-04-26T00:00:00"/>
    <x v="1"/>
    <x v="0"/>
    <x v="0"/>
    <s v="Yes"/>
    <n v="30"/>
    <s v="Yes"/>
    <n v="20"/>
    <n v="5"/>
    <n v="60"/>
  </r>
  <r>
    <n v="3292"/>
    <x v="61"/>
    <x v="2"/>
    <d v="2024-04-27T00:00:00"/>
    <x v="0"/>
    <x v="2"/>
    <x v="1"/>
    <s v="No"/>
    <s v="-"/>
    <s v="Yes"/>
    <n v="20"/>
    <n v="15"/>
    <n v="15"/>
  </r>
  <r>
    <n v="3293"/>
    <x v="62"/>
    <x v="1"/>
    <d v="2024-04-28T00:00:00"/>
    <x v="1"/>
    <x v="1"/>
    <x v="0"/>
    <s v="No"/>
    <s v="-"/>
    <s v="No"/>
    <n v="0"/>
    <n v="1"/>
    <n v="4"/>
  </r>
  <r>
    <n v="3294"/>
    <x v="63"/>
    <x v="0"/>
    <d v="2024-04-29T00:00:00"/>
    <x v="0"/>
    <x v="0"/>
    <x v="2"/>
    <s v="Yes"/>
    <n v="30"/>
    <s v="Yes"/>
    <n v="20"/>
    <n v="20"/>
    <n v="45"/>
  </r>
  <r>
    <n v="3295"/>
    <x v="64"/>
    <x v="2"/>
    <d v="2024-04-30T00:00:00"/>
    <x v="1"/>
    <x v="2"/>
    <x v="0"/>
    <s v="No"/>
    <s v="-"/>
    <s v="Yes"/>
    <n v="20"/>
    <n v="5"/>
    <n v="25"/>
  </r>
  <r>
    <n v="3296"/>
    <x v="65"/>
    <x v="1"/>
    <d v="2024-05-01T00:00:00"/>
    <x v="1"/>
    <x v="1"/>
    <x v="0"/>
    <s v="No"/>
    <s v="-"/>
    <s v="No"/>
    <n v="0"/>
    <n v="0"/>
    <n v="5"/>
  </r>
  <r>
    <n v="3297"/>
    <x v="66"/>
    <x v="0"/>
    <d v="2024-05-02T00:00:00"/>
    <x v="0"/>
    <x v="0"/>
    <x v="2"/>
    <s v="Yes"/>
    <n v="30"/>
    <s v="Yes"/>
    <n v="20"/>
    <n v="7"/>
    <n v="58"/>
  </r>
  <r>
    <n v="3298"/>
    <x v="67"/>
    <x v="2"/>
    <d v="2024-05-03T00:00:00"/>
    <x v="1"/>
    <x v="2"/>
    <x v="1"/>
    <s v="No"/>
    <s v="-"/>
    <s v="Yes"/>
    <n v="20"/>
    <n v="10"/>
    <n v="20"/>
  </r>
  <r>
    <n v="3299"/>
    <x v="68"/>
    <x v="1"/>
    <d v="2024-05-04T00:00:00"/>
    <x v="0"/>
    <x v="1"/>
    <x v="2"/>
    <s v="No"/>
    <s v="-"/>
    <s v="No"/>
    <n v="0"/>
    <n v="1"/>
    <n v="4"/>
  </r>
  <r>
    <n v="3300"/>
    <x v="69"/>
    <x v="0"/>
    <d v="2024-05-05T00:00:00"/>
    <x v="1"/>
    <x v="0"/>
    <x v="0"/>
    <s v="Yes"/>
    <n v="30"/>
    <s v="Yes"/>
    <n v="20"/>
    <n v="15"/>
    <n v="50"/>
  </r>
  <r>
    <n v="3301"/>
    <x v="70"/>
    <x v="2"/>
    <d v="2024-05-06T00:00:00"/>
    <x v="0"/>
    <x v="2"/>
    <x v="0"/>
    <s v="No"/>
    <s v="-"/>
    <s v="Yes"/>
    <n v="20"/>
    <n v="5"/>
    <n v="25"/>
  </r>
  <r>
    <n v="3302"/>
    <x v="71"/>
    <x v="1"/>
    <d v="2024-05-07T00:00:00"/>
    <x v="1"/>
    <x v="1"/>
    <x v="1"/>
    <s v="No"/>
    <s v="-"/>
    <s v="No"/>
    <n v="0"/>
    <n v="0"/>
    <n v="5"/>
  </r>
  <r>
    <n v="3303"/>
    <x v="72"/>
    <x v="0"/>
    <d v="2024-05-08T00:00:00"/>
    <x v="0"/>
    <x v="0"/>
    <x v="2"/>
    <s v="Yes"/>
    <n v="30"/>
    <s v="Yes"/>
    <n v="20"/>
    <n v="20"/>
    <n v="45"/>
  </r>
  <r>
    <n v="3304"/>
    <x v="73"/>
    <x v="2"/>
    <d v="2024-05-09T00:00:00"/>
    <x v="1"/>
    <x v="2"/>
    <x v="2"/>
    <s v="No"/>
    <s v="-"/>
    <s v="Yes"/>
    <n v="20"/>
    <n v="12"/>
    <n v="18"/>
  </r>
  <r>
    <n v="3305"/>
    <x v="74"/>
    <x v="1"/>
    <d v="2024-05-10T00:00:00"/>
    <x v="0"/>
    <x v="1"/>
    <x v="0"/>
    <s v="No"/>
    <s v="-"/>
    <s v="No"/>
    <n v="0"/>
    <n v="2"/>
    <n v="3"/>
  </r>
  <r>
    <n v="3306"/>
    <x v="75"/>
    <x v="0"/>
    <d v="2024-05-11T00:00:00"/>
    <x v="1"/>
    <x v="0"/>
    <x v="1"/>
    <s v="Yes"/>
    <n v="30"/>
    <s v="Yes"/>
    <n v="20"/>
    <n v="5"/>
    <n v="60"/>
  </r>
  <r>
    <n v="3307"/>
    <x v="76"/>
    <x v="2"/>
    <d v="2024-05-12T00:00:00"/>
    <x v="0"/>
    <x v="2"/>
    <x v="0"/>
    <s v="No"/>
    <s v="-"/>
    <s v="Yes"/>
    <n v="20"/>
    <n v="10"/>
    <n v="20"/>
  </r>
  <r>
    <n v="3308"/>
    <x v="77"/>
    <x v="1"/>
    <d v="2024-05-13T00:00:00"/>
    <x v="1"/>
    <x v="1"/>
    <x v="2"/>
    <s v="No"/>
    <s v="-"/>
    <s v="No"/>
    <n v="0"/>
    <n v="0"/>
    <n v="5"/>
  </r>
  <r>
    <n v="3309"/>
    <x v="78"/>
    <x v="0"/>
    <d v="2024-05-14T00:00:00"/>
    <x v="0"/>
    <x v="0"/>
    <x v="0"/>
    <s v="Yes"/>
    <n v="30"/>
    <s v="Yes"/>
    <n v="20"/>
    <n v="3"/>
    <n v="62"/>
  </r>
  <r>
    <n v="3310"/>
    <x v="79"/>
    <x v="2"/>
    <d v="2024-05-15T00:00:00"/>
    <x v="1"/>
    <x v="2"/>
    <x v="1"/>
    <s v="No"/>
    <s v="-"/>
    <s v="Yes"/>
    <n v="20"/>
    <n v="15"/>
    <n v="15"/>
  </r>
  <r>
    <n v="3311"/>
    <x v="80"/>
    <x v="1"/>
    <d v="2024-05-16T00:00:00"/>
    <x v="0"/>
    <x v="1"/>
    <x v="0"/>
    <s v="No"/>
    <s v="-"/>
    <s v="No"/>
    <n v="0"/>
    <n v="1"/>
    <n v="4"/>
  </r>
  <r>
    <n v="3312"/>
    <x v="81"/>
    <x v="0"/>
    <d v="2024-05-17T00:00:00"/>
    <x v="1"/>
    <x v="0"/>
    <x v="2"/>
    <s v="Yes"/>
    <n v="30"/>
    <s v="Yes"/>
    <n v="20"/>
    <n v="7"/>
    <n v="58"/>
  </r>
  <r>
    <n v="3313"/>
    <x v="82"/>
    <x v="2"/>
    <d v="2024-05-18T00:00:00"/>
    <x v="0"/>
    <x v="2"/>
    <x v="0"/>
    <s v="No"/>
    <s v="-"/>
    <s v="Yes"/>
    <n v="20"/>
    <n v="10"/>
    <n v="20"/>
  </r>
  <r>
    <n v="3314"/>
    <x v="83"/>
    <x v="1"/>
    <d v="2024-05-19T00:00:00"/>
    <x v="1"/>
    <x v="1"/>
    <x v="1"/>
    <s v="No"/>
    <s v="-"/>
    <s v="No"/>
    <n v="0"/>
    <n v="0"/>
    <n v="5"/>
  </r>
  <r>
    <n v="3315"/>
    <x v="84"/>
    <x v="0"/>
    <d v="2024-05-20T00:00:00"/>
    <x v="0"/>
    <x v="0"/>
    <x v="0"/>
    <s v="Yes"/>
    <n v="30"/>
    <s v="Yes"/>
    <n v="20"/>
    <n v="20"/>
    <n v="45"/>
  </r>
  <r>
    <n v="3316"/>
    <x v="85"/>
    <x v="2"/>
    <d v="2024-05-21T00:00:00"/>
    <x v="1"/>
    <x v="2"/>
    <x v="2"/>
    <s v="No"/>
    <s v="-"/>
    <s v="Yes"/>
    <n v="20"/>
    <n v="15"/>
    <n v="15"/>
  </r>
  <r>
    <n v="3317"/>
    <x v="86"/>
    <x v="1"/>
    <d v="2024-05-22T00:00:00"/>
    <x v="0"/>
    <x v="1"/>
    <x v="0"/>
    <s v="No"/>
    <s v="-"/>
    <s v="No"/>
    <n v="0"/>
    <n v="1"/>
    <n v="4"/>
  </r>
  <r>
    <n v="3318"/>
    <x v="87"/>
    <x v="0"/>
    <d v="2024-05-23T00:00:00"/>
    <x v="1"/>
    <x v="0"/>
    <x v="1"/>
    <s v="Yes"/>
    <n v="30"/>
    <s v="Yes"/>
    <n v="20"/>
    <n v="3"/>
    <n v="62"/>
  </r>
  <r>
    <n v="3319"/>
    <x v="88"/>
    <x v="2"/>
    <d v="2024-05-24T00:00:00"/>
    <x v="0"/>
    <x v="2"/>
    <x v="0"/>
    <s v="No"/>
    <s v="-"/>
    <s v="Yes"/>
    <n v="20"/>
    <n v="10"/>
    <n v="20"/>
  </r>
  <r>
    <n v="3320"/>
    <x v="89"/>
    <x v="1"/>
    <d v="2024-05-25T00:00:00"/>
    <x v="1"/>
    <x v="1"/>
    <x v="2"/>
    <s v="No"/>
    <s v="-"/>
    <s v="No"/>
    <n v="0"/>
    <n v="0"/>
    <n v="5"/>
  </r>
  <r>
    <n v="3321"/>
    <x v="90"/>
    <x v="0"/>
    <d v="2024-05-26T00:00:00"/>
    <x v="0"/>
    <x v="0"/>
    <x v="0"/>
    <s v="Yes"/>
    <n v="30"/>
    <s v="Yes"/>
    <n v="20"/>
    <n v="5"/>
    <n v="60"/>
  </r>
  <r>
    <n v="3322"/>
    <x v="91"/>
    <x v="2"/>
    <d v="2024-05-27T00:00:00"/>
    <x v="1"/>
    <x v="2"/>
    <x v="1"/>
    <s v="No"/>
    <s v="-"/>
    <s v="Yes"/>
    <n v="20"/>
    <n v="15"/>
    <n v="15"/>
  </r>
  <r>
    <n v="3323"/>
    <x v="92"/>
    <x v="1"/>
    <d v="2024-05-28T00:00:00"/>
    <x v="0"/>
    <x v="1"/>
    <x v="0"/>
    <s v="No"/>
    <s v="-"/>
    <s v="No"/>
    <n v="0"/>
    <n v="1"/>
    <n v="4"/>
  </r>
  <r>
    <n v="3324"/>
    <x v="93"/>
    <x v="0"/>
    <d v="2024-05-29T00:00:00"/>
    <x v="1"/>
    <x v="0"/>
    <x v="2"/>
    <s v="Yes"/>
    <n v="30"/>
    <s v="Yes"/>
    <n v="20"/>
    <n v="20"/>
    <n v="45"/>
  </r>
  <r>
    <n v="3325"/>
    <x v="94"/>
    <x v="2"/>
    <d v="2024-05-30T00:00:00"/>
    <x v="0"/>
    <x v="2"/>
    <x v="2"/>
    <s v="No"/>
    <s v="-"/>
    <s v="Yes"/>
    <n v="20"/>
    <n v="15"/>
    <n v="15"/>
  </r>
  <r>
    <n v="3326"/>
    <x v="95"/>
    <x v="1"/>
    <d v="2024-05-31T00:00:00"/>
    <x v="1"/>
    <x v="1"/>
    <x v="1"/>
    <s v="No"/>
    <s v="-"/>
    <s v="No"/>
    <n v="0"/>
    <n v="0"/>
    <n v="5"/>
  </r>
  <r>
    <n v="3327"/>
    <x v="96"/>
    <x v="0"/>
    <d v="2024-06-01T00:00:00"/>
    <x v="0"/>
    <x v="0"/>
    <x v="0"/>
    <s v="Yes"/>
    <n v="30"/>
    <s v="Yes"/>
    <n v="20"/>
    <n v="7"/>
    <n v="58"/>
  </r>
  <r>
    <n v="3328"/>
    <x v="97"/>
    <x v="2"/>
    <d v="2024-06-02T00:00:00"/>
    <x v="1"/>
    <x v="2"/>
    <x v="1"/>
    <s v="No"/>
    <s v="-"/>
    <s v="Yes"/>
    <n v="20"/>
    <n v="10"/>
    <n v="20"/>
  </r>
  <r>
    <n v="3329"/>
    <x v="98"/>
    <x v="1"/>
    <d v="2024-06-03T00:00:00"/>
    <x v="0"/>
    <x v="1"/>
    <x v="2"/>
    <s v="No"/>
    <s v="-"/>
    <s v="No"/>
    <n v="0"/>
    <n v="1"/>
    <n v="4"/>
  </r>
  <r>
    <n v="3330"/>
    <x v="99"/>
    <x v="0"/>
    <d v="2024-06-04T00:00:00"/>
    <x v="1"/>
    <x v="0"/>
    <x v="0"/>
    <s v="Yes"/>
    <n v="30"/>
    <s v="Yes"/>
    <n v="20"/>
    <n v="15"/>
    <n v="50"/>
  </r>
  <r>
    <n v="3331"/>
    <x v="100"/>
    <x v="2"/>
    <d v="2024-06-05T00:00:00"/>
    <x v="0"/>
    <x v="2"/>
    <x v="0"/>
    <s v="No"/>
    <s v="-"/>
    <s v="Yes"/>
    <n v="20"/>
    <n v="5"/>
    <n v="25"/>
  </r>
  <r>
    <n v="3332"/>
    <x v="101"/>
    <x v="1"/>
    <d v="2024-06-06T00:00:00"/>
    <x v="1"/>
    <x v="1"/>
    <x v="1"/>
    <s v="No"/>
    <s v="-"/>
    <s v="No"/>
    <n v="0"/>
    <n v="0"/>
    <n v="5"/>
  </r>
  <r>
    <n v="3333"/>
    <x v="102"/>
    <x v="0"/>
    <d v="2024-06-07T00:00:00"/>
    <x v="0"/>
    <x v="0"/>
    <x v="2"/>
    <s v="Yes"/>
    <n v="30"/>
    <s v="Yes"/>
    <n v="20"/>
    <n v="20"/>
    <n v="45"/>
  </r>
  <r>
    <n v="3334"/>
    <x v="103"/>
    <x v="2"/>
    <d v="2024-06-08T00:00:00"/>
    <x v="1"/>
    <x v="2"/>
    <x v="2"/>
    <s v="No"/>
    <s v="-"/>
    <s v="Yes"/>
    <n v="20"/>
    <n v="12"/>
    <n v="18"/>
  </r>
  <r>
    <n v="3335"/>
    <x v="104"/>
    <x v="1"/>
    <d v="2024-06-09T00:00:00"/>
    <x v="0"/>
    <x v="1"/>
    <x v="0"/>
    <s v="No"/>
    <s v="-"/>
    <s v="No"/>
    <n v="0"/>
    <n v="2"/>
    <n v="3"/>
  </r>
  <r>
    <n v="3336"/>
    <x v="105"/>
    <x v="1"/>
    <d v="2024-06-10T00:00:00"/>
    <x v="0"/>
    <x v="1"/>
    <x v="0"/>
    <s v="No"/>
    <s v="-"/>
    <s v="No"/>
    <n v="0"/>
    <n v="0"/>
    <n v="5"/>
  </r>
  <r>
    <n v="3337"/>
    <x v="106"/>
    <x v="0"/>
    <d v="2024-06-11T00:00:00"/>
    <x v="1"/>
    <x v="0"/>
    <x v="2"/>
    <s v="Yes"/>
    <n v="30"/>
    <s v="Yes"/>
    <n v="20"/>
    <n v="7"/>
    <n v="58"/>
  </r>
  <r>
    <n v="3338"/>
    <x v="107"/>
    <x v="2"/>
    <d v="2024-06-12T00:00:00"/>
    <x v="0"/>
    <x v="2"/>
    <x v="1"/>
    <s v="No"/>
    <s v="-"/>
    <s v="Yes"/>
    <n v="20"/>
    <n v="10"/>
    <n v="20"/>
  </r>
  <r>
    <n v="3339"/>
    <x v="108"/>
    <x v="1"/>
    <d v="2024-06-13T00:00:00"/>
    <x v="1"/>
    <x v="1"/>
    <x v="2"/>
    <s v="No"/>
    <s v="-"/>
    <s v="No"/>
    <n v="0"/>
    <n v="1"/>
    <n v="4"/>
  </r>
  <r>
    <n v="3340"/>
    <x v="109"/>
    <x v="0"/>
    <d v="2024-06-14T00:00:00"/>
    <x v="0"/>
    <x v="0"/>
    <x v="0"/>
    <s v="Yes"/>
    <n v="30"/>
    <s v="Yes"/>
    <n v="20"/>
    <n v="15"/>
    <n v="50"/>
  </r>
  <r>
    <n v="3341"/>
    <x v="110"/>
    <x v="2"/>
    <d v="2024-06-15T00:00:00"/>
    <x v="1"/>
    <x v="2"/>
    <x v="0"/>
    <s v="No"/>
    <s v="-"/>
    <s v="Yes"/>
    <n v="20"/>
    <n v="5"/>
    <n v="25"/>
  </r>
  <r>
    <n v="3342"/>
    <x v="111"/>
    <x v="1"/>
    <d v="2024-06-16T00:00:00"/>
    <x v="0"/>
    <x v="1"/>
    <x v="1"/>
    <s v="No"/>
    <s v="-"/>
    <s v="No"/>
    <n v="0"/>
    <n v="0"/>
    <n v="5"/>
  </r>
  <r>
    <n v="3343"/>
    <x v="112"/>
    <x v="0"/>
    <d v="2024-06-17T00:00:00"/>
    <x v="1"/>
    <x v="0"/>
    <x v="2"/>
    <s v="Yes"/>
    <n v="30"/>
    <s v="Yes"/>
    <n v="20"/>
    <n v="20"/>
    <n v="45"/>
  </r>
  <r>
    <n v="3344"/>
    <x v="113"/>
    <x v="2"/>
    <d v="2024-06-18T00:00:00"/>
    <x v="0"/>
    <x v="2"/>
    <x v="2"/>
    <s v="No"/>
    <s v="-"/>
    <s v="Yes"/>
    <n v="20"/>
    <n v="12"/>
    <n v="18"/>
  </r>
  <r>
    <n v="3345"/>
    <x v="114"/>
    <x v="1"/>
    <d v="2024-06-19T00:00:00"/>
    <x v="1"/>
    <x v="1"/>
    <x v="0"/>
    <s v="No"/>
    <s v="-"/>
    <s v="No"/>
    <n v="0"/>
    <n v="2"/>
    <n v="3"/>
  </r>
  <r>
    <n v="3346"/>
    <x v="115"/>
    <x v="0"/>
    <d v="2024-06-20T00:00:00"/>
    <x v="0"/>
    <x v="0"/>
    <x v="1"/>
    <s v="Yes"/>
    <n v="30"/>
    <s v="Yes"/>
    <n v="20"/>
    <n v="5"/>
    <n v="60"/>
  </r>
  <r>
    <n v="3347"/>
    <x v="116"/>
    <x v="2"/>
    <d v="2024-06-21T00:00:00"/>
    <x v="1"/>
    <x v="2"/>
    <x v="0"/>
    <s v="No"/>
    <s v="-"/>
    <s v="Yes"/>
    <n v="20"/>
    <n v="10"/>
    <n v="20"/>
  </r>
  <r>
    <n v="3348"/>
    <x v="117"/>
    <x v="1"/>
    <d v="2024-06-22T00:00:00"/>
    <x v="0"/>
    <x v="1"/>
    <x v="2"/>
    <s v="No"/>
    <s v="-"/>
    <s v="No"/>
    <n v="0"/>
    <n v="0"/>
    <n v="5"/>
  </r>
  <r>
    <n v="3349"/>
    <x v="93"/>
    <x v="0"/>
    <d v="2024-06-23T00:00:00"/>
    <x v="1"/>
    <x v="0"/>
    <x v="0"/>
    <s v="Yes"/>
    <n v="30"/>
    <s v="Yes"/>
    <n v="20"/>
    <n v="3"/>
    <n v="62"/>
  </r>
  <r>
    <n v="3350"/>
    <x v="118"/>
    <x v="2"/>
    <d v="2024-06-24T00:00:00"/>
    <x v="0"/>
    <x v="2"/>
    <x v="1"/>
    <s v="No"/>
    <s v="-"/>
    <s v="Yes"/>
    <n v="20"/>
    <n v="15"/>
    <n v="15"/>
  </r>
  <r>
    <n v="3351"/>
    <x v="119"/>
    <x v="1"/>
    <d v="2024-06-25T00:00:00"/>
    <x v="1"/>
    <x v="1"/>
    <x v="0"/>
    <s v="No"/>
    <s v="-"/>
    <s v="No"/>
    <n v="0"/>
    <n v="1"/>
    <n v="4"/>
  </r>
  <r>
    <n v="3352"/>
    <x v="120"/>
    <x v="0"/>
    <d v="2024-06-26T00:00:00"/>
    <x v="0"/>
    <x v="0"/>
    <x v="2"/>
    <s v="Yes"/>
    <n v="30"/>
    <s v="Yes"/>
    <n v="20"/>
    <n v="7"/>
    <n v="58"/>
  </r>
  <r>
    <n v="3353"/>
    <x v="121"/>
    <x v="2"/>
    <d v="2024-06-27T00:00:00"/>
    <x v="1"/>
    <x v="2"/>
    <x v="0"/>
    <s v="No"/>
    <s v="-"/>
    <s v="Yes"/>
    <n v="20"/>
    <n v="10"/>
    <n v="20"/>
  </r>
  <r>
    <n v="3354"/>
    <x v="122"/>
    <x v="1"/>
    <d v="2024-06-28T00:00:00"/>
    <x v="0"/>
    <x v="1"/>
    <x v="1"/>
    <s v="No"/>
    <s v="-"/>
    <s v="No"/>
    <n v="0"/>
    <n v="0"/>
    <n v="5"/>
  </r>
  <r>
    <n v="3355"/>
    <x v="123"/>
    <x v="0"/>
    <d v="2024-06-29T00:00:00"/>
    <x v="1"/>
    <x v="0"/>
    <x v="0"/>
    <s v="Yes"/>
    <n v="30"/>
    <s v="Yes"/>
    <n v="20"/>
    <n v="20"/>
    <n v="45"/>
  </r>
  <r>
    <n v="3356"/>
    <x v="124"/>
    <x v="2"/>
    <d v="2024-06-30T00:00:00"/>
    <x v="0"/>
    <x v="2"/>
    <x v="2"/>
    <s v="No"/>
    <s v="-"/>
    <s v="Yes"/>
    <n v="20"/>
    <n v="15"/>
    <n v="15"/>
  </r>
  <r>
    <n v="3357"/>
    <x v="125"/>
    <x v="1"/>
    <d v="2024-07-01T00:00:00"/>
    <x v="1"/>
    <x v="1"/>
    <x v="0"/>
    <s v="No"/>
    <s v="-"/>
    <s v="No"/>
    <n v="0"/>
    <n v="1"/>
    <n v="4"/>
  </r>
  <r>
    <n v="3358"/>
    <x v="126"/>
    <x v="0"/>
    <d v="2024-07-02T00:00:00"/>
    <x v="0"/>
    <x v="0"/>
    <x v="1"/>
    <s v="Yes"/>
    <n v="30"/>
    <s v="Yes"/>
    <n v="20"/>
    <n v="3"/>
    <n v="62"/>
  </r>
  <r>
    <n v="3359"/>
    <x v="127"/>
    <x v="2"/>
    <d v="2024-07-03T00:00:00"/>
    <x v="1"/>
    <x v="2"/>
    <x v="0"/>
    <s v="No"/>
    <s v="-"/>
    <s v="Yes"/>
    <n v="20"/>
    <n v="10"/>
    <n v="20"/>
  </r>
  <r>
    <n v="3360"/>
    <x v="128"/>
    <x v="1"/>
    <d v="2024-07-04T00:00:00"/>
    <x v="0"/>
    <x v="1"/>
    <x v="2"/>
    <s v="No"/>
    <s v="-"/>
    <s v="No"/>
    <n v="0"/>
    <n v="0"/>
    <n v="5"/>
  </r>
  <r>
    <n v="3361"/>
    <x v="129"/>
    <x v="0"/>
    <d v="2024-07-05T00:00:00"/>
    <x v="1"/>
    <x v="0"/>
    <x v="0"/>
    <s v="Yes"/>
    <n v="30"/>
    <s v="Yes"/>
    <n v="20"/>
    <n v="15"/>
    <n v="50"/>
  </r>
  <r>
    <n v="3362"/>
    <x v="130"/>
    <x v="2"/>
    <d v="2024-07-06T00:00:00"/>
    <x v="0"/>
    <x v="2"/>
    <x v="1"/>
    <s v="No"/>
    <s v="-"/>
    <s v="Yes"/>
    <n v="20"/>
    <n v="15"/>
    <n v="15"/>
  </r>
  <r>
    <n v="3363"/>
    <x v="131"/>
    <x v="1"/>
    <d v="2024-07-07T00:00:00"/>
    <x v="1"/>
    <x v="1"/>
    <x v="0"/>
    <s v="No"/>
    <s v="-"/>
    <s v="No"/>
    <n v="0"/>
    <n v="1"/>
    <n v="4"/>
  </r>
  <r>
    <n v="3364"/>
    <x v="132"/>
    <x v="0"/>
    <d v="2024-07-08T00:00:00"/>
    <x v="0"/>
    <x v="0"/>
    <x v="2"/>
    <s v="Yes"/>
    <n v="30"/>
    <s v="Yes"/>
    <n v="20"/>
    <n v="7"/>
    <n v="58"/>
  </r>
  <r>
    <n v="3365"/>
    <x v="133"/>
    <x v="2"/>
    <d v="2024-07-09T00:00:00"/>
    <x v="1"/>
    <x v="2"/>
    <x v="0"/>
    <s v="No"/>
    <s v="-"/>
    <s v="Yes"/>
    <n v="20"/>
    <n v="10"/>
    <n v="20"/>
  </r>
  <r>
    <n v="3366"/>
    <x v="134"/>
    <x v="1"/>
    <d v="2024-07-10T00:00:00"/>
    <x v="0"/>
    <x v="1"/>
    <x v="0"/>
    <s v="No"/>
    <s v="-"/>
    <s v="No"/>
    <n v="0"/>
    <n v="0"/>
    <n v="5"/>
  </r>
  <r>
    <n v="3367"/>
    <x v="135"/>
    <x v="0"/>
    <d v="2024-07-11T00:00:00"/>
    <x v="1"/>
    <x v="0"/>
    <x v="2"/>
    <s v="Yes"/>
    <n v="30"/>
    <s v="Yes"/>
    <n v="20"/>
    <n v="7"/>
    <n v="58"/>
  </r>
  <r>
    <n v="3368"/>
    <x v="136"/>
    <x v="2"/>
    <d v="2024-07-12T00:00:00"/>
    <x v="0"/>
    <x v="2"/>
    <x v="1"/>
    <s v="No"/>
    <s v="-"/>
    <s v="Yes"/>
    <n v="20"/>
    <n v="10"/>
    <n v="20"/>
  </r>
  <r>
    <n v="3369"/>
    <x v="137"/>
    <x v="1"/>
    <d v="2024-07-13T00:00:00"/>
    <x v="1"/>
    <x v="1"/>
    <x v="2"/>
    <s v="No"/>
    <s v="-"/>
    <s v="No"/>
    <n v="0"/>
    <n v="1"/>
    <n v="4"/>
  </r>
  <r>
    <n v="3370"/>
    <x v="138"/>
    <x v="0"/>
    <d v="2024-07-14T00:00:00"/>
    <x v="0"/>
    <x v="0"/>
    <x v="0"/>
    <s v="Yes"/>
    <n v="30"/>
    <s v="Yes"/>
    <n v="20"/>
    <n v="15"/>
    <n v="50"/>
  </r>
  <r>
    <n v="3371"/>
    <x v="139"/>
    <x v="2"/>
    <d v="2024-07-15T00:00:00"/>
    <x v="1"/>
    <x v="2"/>
    <x v="0"/>
    <s v="No"/>
    <s v="-"/>
    <s v="Yes"/>
    <n v="20"/>
    <n v="5"/>
    <n v="25"/>
  </r>
  <r>
    <n v="3372"/>
    <x v="140"/>
    <x v="1"/>
    <d v="2024-07-16T00:00:00"/>
    <x v="0"/>
    <x v="1"/>
    <x v="1"/>
    <s v="No"/>
    <s v="-"/>
    <s v="No"/>
    <n v="0"/>
    <n v="0"/>
    <n v="5"/>
  </r>
  <r>
    <n v="3373"/>
    <x v="141"/>
    <x v="0"/>
    <d v="2024-07-17T00:00:00"/>
    <x v="1"/>
    <x v="0"/>
    <x v="2"/>
    <s v="Yes"/>
    <n v="30"/>
    <s v="Yes"/>
    <n v="20"/>
    <n v="20"/>
    <n v="45"/>
  </r>
  <r>
    <n v="3374"/>
    <x v="142"/>
    <x v="2"/>
    <d v="2024-07-18T00:00:00"/>
    <x v="0"/>
    <x v="2"/>
    <x v="2"/>
    <s v="No"/>
    <s v="-"/>
    <s v="Yes"/>
    <n v="20"/>
    <n v="12"/>
    <n v="18"/>
  </r>
  <r>
    <n v="3375"/>
    <x v="143"/>
    <x v="1"/>
    <d v="2024-07-19T00:00:00"/>
    <x v="1"/>
    <x v="1"/>
    <x v="0"/>
    <s v="No"/>
    <s v="-"/>
    <s v="No"/>
    <n v="0"/>
    <n v="2"/>
    <n v="3"/>
  </r>
  <r>
    <n v="3376"/>
    <x v="144"/>
    <x v="0"/>
    <d v="2024-07-20T00:00:00"/>
    <x v="0"/>
    <x v="0"/>
    <x v="1"/>
    <s v="Yes"/>
    <n v="30"/>
    <s v="Yes"/>
    <n v="20"/>
    <n v="5"/>
    <n v="60"/>
  </r>
  <r>
    <n v="3377"/>
    <x v="145"/>
    <x v="2"/>
    <d v="2024-07-21T00:00:00"/>
    <x v="1"/>
    <x v="2"/>
    <x v="0"/>
    <s v="No"/>
    <s v="-"/>
    <s v="Yes"/>
    <n v="20"/>
    <n v="10"/>
    <n v="20"/>
  </r>
  <r>
    <n v="3378"/>
    <x v="146"/>
    <x v="1"/>
    <d v="2024-07-22T00:00:00"/>
    <x v="0"/>
    <x v="1"/>
    <x v="2"/>
    <s v="No"/>
    <s v="-"/>
    <s v="No"/>
    <n v="0"/>
    <n v="0"/>
    <n v="5"/>
  </r>
  <r>
    <n v="3379"/>
    <x v="147"/>
    <x v="0"/>
    <d v="2024-07-23T00:00:00"/>
    <x v="1"/>
    <x v="0"/>
    <x v="0"/>
    <s v="Yes"/>
    <n v="30"/>
    <s v="Yes"/>
    <n v="20"/>
    <n v="3"/>
    <n v="62"/>
  </r>
  <r>
    <n v="3380"/>
    <x v="148"/>
    <x v="2"/>
    <d v="2024-07-24T00:00:00"/>
    <x v="0"/>
    <x v="2"/>
    <x v="1"/>
    <s v="No"/>
    <s v="-"/>
    <s v="Yes"/>
    <n v="20"/>
    <n v="15"/>
    <n v="15"/>
  </r>
  <r>
    <n v="3381"/>
    <x v="149"/>
    <x v="1"/>
    <d v="2024-07-25T00:00:00"/>
    <x v="1"/>
    <x v="1"/>
    <x v="0"/>
    <s v="No"/>
    <s v="-"/>
    <s v="No"/>
    <n v="0"/>
    <n v="1"/>
    <n v="4"/>
  </r>
  <r>
    <n v="3382"/>
    <x v="150"/>
    <x v="0"/>
    <d v="2024-07-26T00:00:00"/>
    <x v="0"/>
    <x v="0"/>
    <x v="2"/>
    <s v="Yes"/>
    <n v="30"/>
    <s v="Yes"/>
    <n v="20"/>
    <n v="7"/>
    <n v="58"/>
  </r>
  <r>
    <n v="3383"/>
    <x v="151"/>
    <x v="2"/>
    <d v="2024-07-27T00:00:00"/>
    <x v="1"/>
    <x v="2"/>
    <x v="0"/>
    <s v="No"/>
    <s v="-"/>
    <s v="Yes"/>
    <n v="20"/>
    <n v="10"/>
    <n v="20"/>
  </r>
  <r>
    <n v="3384"/>
    <x v="152"/>
    <x v="1"/>
    <d v="2024-07-28T00:00:00"/>
    <x v="0"/>
    <x v="1"/>
    <x v="1"/>
    <s v="No"/>
    <s v="-"/>
    <s v="No"/>
    <n v="0"/>
    <n v="0"/>
    <n v="5"/>
  </r>
  <r>
    <n v="3385"/>
    <x v="153"/>
    <x v="0"/>
    <d v="2024-07-29T00:00:00"/>
    <x v="1"/>
    <x v="0"/>
    <x v="0"/>
    <s v="Yes"/>
    <n v="30"/>
    <s v="Yes"/>
    <n v="20"/>
    <n v="20"/>
    <n v="45"/>
  </r>
  <r>
    <n v="3386"/>
    <x v="154"/>
    <x v="2"/>
    <d v="2024-07-30T00:00:00"/>
    <x v="0"/>
    <x v="2"/>
    <x v="2"/>
    <s v="No"/>
    <s v="-"/>
    <s v="Yes"/>
    <n v="20"/>
    <n v="15"/>
    <n v="15"/>
  </r>
  <r>
    <n v="3387"/>
    <x v="155"/>
    <x v="1"/>
    <d v="2024-07-31T00:00:00"/>
    <x v="1"/>
    <x v="1"/>
    <x v="0"/>
    <s v="No"/>
    <s v="-"/>
    <s v="No"/>
    <n v="0"/>
    <n v="1"/>
    <n v="4"/>
  </r>
  <r>
    <n v="3388"/>
    <x v="156"/>
    <x v="0"/>
    <d v="2024-08-01T00:00:00"/>
    <x v="0"/>
    <x v="0"/>
    <x v="1"/>
    <s v="Yes"/>
    <n v="30"/>
    <s v="Yes"/>
    <n v="20"/>
    <n v="3"/>
    <n v="62"/>
  </r>
  <r>
    <n v="3389"/>
    <x v="157"/>
    <x v="2"/>
    <d v="2024-08-02T00:00:00"/>
    <x v="1"/>
    <x v="2"/>
    <x v="0"/>
    <s v="No"/>
    <s v="-"/>
    <s v="Yes"/>
    <n v="20"/>
    <n v="10"/>
    <n v="20"/>
  </r>
  <r>
    <n v="3390"/>
    <x v="158"/>
    <x v="1"/>
    <d v="2024-08-03T00:00:00"/>
    <x v="0"/>
    <x v="1"/>
    <x v="2"/>
    <s v="No"/>
    <s v="-"/>
    <s v="No"/>
    <n v="0"/>
    <n v="0"/>
    <n v="5"/>
  </r>
  <r>
    <n v="3391"/>
    <x v="58"/>
    <x v="0"/>
    <d v="2024-08-04T00:00:00"/>
    <x v="1"/>
    <x v="0"/>
    <x v="0"/>
    <s v="Yes"/>
    <n v="30"/>
    <s v="Yes"/>
    <n v="20"/>
    <n v="15"/>
    <n v="50"/>
  </r>
  <r>
    <n v="3392"/>
    <x v="159"/>
    <x v="2"/>
    <d v="2024-08-05T00:00:00"/>
    <x v="0"/>
    <x v="2"/>
    <x v="1"/>
    <s v="No"/>
    <s v="-"/>
    <s v="Yes"/>
    <n v="20"/>
    <n v="15"/>
    <n v="15"/>
  </r>
  <r>
    <n v="3393"/>
    <x v="160"/>
    <x v="1"/>
    <d v="2024-08-06T00:00:00"/>
    <x v="1"/>
    <x v="1"/>
    <x v="0"/>
    <s v="No"/>
    <s v="-"/>
    <s v="No"/>
    <n v="0"/>
    <n v="1"/>
    <n v="4"/>
  </r>
  <r>
    <n v="3394"/>
    <x v="161"/>
    <x v="0"/>
    <d v="2024-08-07T00:00:00"/>
    <x v="0"/>
    <x v="0"/>
    <x v="2"/>
    <s v="Yes"/>
    <n v="30"/>
    <s v="Yes"/>
    <n v="20"/>
    <n v="7"/>
    <n v="58"/>
  </r>
  <r>
    <n v="3395"/>
    <x v="162"/>
    <x v="2"/>
    <d v="2024-08-08T00:00:00"/>
    <x v="1"/>
    <x v="2"/>
    <x v="0"/>
    <s v="No"/>
    <s v="-"/>
    <s v="Yes"/>
    <n v="20"/>
    <n v="10"/>
    <n v="20"/>
  </r>
  <r>
    <n v="3396"/>
    <x v="163"/>
    <x v="1"/>
    <d v="2024-08-09T00:00:00"/>
    <x v="0"/>
    <x v="1"/>
    <x v="1"/>
    <s v="No"/>
    <s v="-"/>
    <s v="No"/>
    <n v="0"/>
    <n v="0"/>
    <n v="5"/>
  </r>
  <r>
    <n v="3397"/>
    <x v="90"/>
    <x v="0"/>
    <d v="2024-08-10T00:00:00"/>
    <x v="1"/>
    <x v="0"/>
    <x v="0"/>
    <s v="Yes"/>
    <n v="30"/>
    <s v="Yes"/>
    <n v="20"/>
    <n v="20"/>
    <n v="45"/>
  </r>
  <r>
    <n v="3398"/>
    <x v="164"/>
    <x v="2"/>
    <d v="2024-08-11T00:00:00"/>
    <x v="0"/>
    <x v="2"/>
    <x v="2"/>
    <s v="No"/>
    <s v="-"/>
    <s v="Yes"/>
    <n v="20"/>
    <n v="15"/>
    <n v="15"/>
  </r>
  <r>
    <n v="3399"/>
    <x v="165"/>
    <x v="1"/>
    <d v="2024-08-12T00:00:00"/>
    <x v="1"/>
    <x v="1"/>
    <x v="0"/>
    <s v="No"/>
    <s v="-"/>
    <s v="No"/>
    <n v="0"/>
    <n v="1"/>
    <n v="4"/>
  </r>
  <r>
    <n v="3400"/>
    <x v="166"/>
    <x v="0"/>
    <d v="2024-08-13T00:00:00"/>
    <x v="0"/>
    <x v="0"/>
    <x v="1"/>
    <s v="Yes"/>
    <n v="30"/>
    <s v="Yes"/>
    <n v="20"/>
    <n v="5"/>
    <n v="60"/>
  </r>
  <r>
    <n v="3401"/>
    <x v="167"/>
    <x v="2"/>
    <d v="2024-08-14T00:00:00"/>
    <x v="1"/>
    <x v="2"/>
    <x v="0"/>
    <s v="No"/>
    <s v="-"/>
    <s v="Yes"/>
    <n v="20"/>
    <n v="10"/>
    <n v="20"/>
  </r>
  <r>
    <n v="3402"/>
    <x v="168"/>
    <x v="1"/>
    <d v="2024-08-15T00:00:00"/>
    <x v="0"/>
    <x v="1"/>
    <x v="2"/>
    <s v="No"/>
    <s v="-"/>
    <s v="No"/>
    <n v="0"/>
    <n v="0"/>
    <n v="5"/>
  </r>
  <r>
    <n v="3403"/>
    <x v="169"/>
    <x v="0"/>
    <d v="2024-08-16T00:00:00"/>
    <x v="1"/>
    <x v="0"/>
    <x v="0"/>
    <s v="Yes"/>
    <n v="30"/>
    <s v="Yes"/>
    <n v="20"/>
    <n v="3"/>
    <n v="62"/>
  </r>
  <r>
    <n v="3404"/>
    <x v="170"/>
    <x v="2"/>
    <d v="2024-08-17T00:00:00"/>
    <x v="0"/>
    <x v="2"/>
    <x v="1"/>
    <s v="No"/>
    <s v="-"/>
    <s v="Yes"/>
    <n v="20"/>
    <n v="15"/>
    <n v="15"/>
  </r>
  <r>
    <n v="3405"/>
    <x v="171"/>
    <x v="1"/>
    <d v="2024-08-18T00:00:00"/>
    <x v="1"/>
    <x v="1"/>
    <x v="0"/>
    <s v="No"/>
    <s v="-"/>
    <s v="No"/>
    <n v="0"/>
    <n v="1"/>
    <n v="4"/>
  </r>
  <r>
    <n v="3406"/>
    <x v="172"/>
    <x v="1"/>
    <d v="2024-08-19T00:00:00"/>
    <x v="0"/>
    <x v="1"/>
    <x v="0"/>
    <s v="No"/>
    <s v="-"/>
    <s v="No"/>
    <n v="0"/>
    <n v="0"/>
    <n v="5"/>
  </r>
  <r>
    <n v="3407"/>
    <x v="173"/>
    <x v="0"/>
    <d v="2024-08-20T00:00:00"/>
    <x v="1"/>
    <x v="0"/>
    <x v="2"/>
    <s v="Yes"/>
    <n v="30"/>
    <s v="Yes"/>
    <n v="20"/>
    <n v="7"/>
    <n v="58"/>
  </r>
  <r>
    <n v="3408"/>
    <x v="174"/>
    <x v="2"/>
    <d v="2024-08-21T00:00:00"/>
    <x v="0"/>
    <x v="2"/>
    <x v="1"/>
    <s v="No"/>
    <s v="-"/>
    <s v="Yes"/>
    <n v="20"/>
    <n v="10"/>
    <n v="20"/>
  </r>
  <r>
    <n v="3409"/>
    <x v="175"/>
    <x v="1"/>
    <d v="2024-08-22T00:00:00"/>
    <x v="1"/>
    <x v="1"/>
    <x v="2"/>
    <s v="No"/>
    <s v="-"/>
    <s v="No"/>
    <n v="0"/>
    <n v="1"/>
    <n v="4"/>
  </r>
  <r>
    <n v="3410"/>
    <x v="176"/>
    <x v="0"/>
    <d v="2024-08-23T00:00:00"/>
    <x v="0"/>
    <x v="0"/>
    <x v="0"/>
    <s v="Yes"/>
    <n v="30"/>
    <s v="Yes"/>
    <n v="20"/>
    <n v="15"/>
    <n v="50"/>
  </r>
  <r>
    <n v="3411"/>
    <x v="177"/>
    <x v="2"/>
    <d v="2024-08-24T00:00:00"/>
    <x v="1"/>
    <x v="2"/>
    <x v="0"/>
    <s v="No"/>
    <s v="-"/>
    <s v="Yes"/>
    <n v="20"/>
    <n v="5"/>
    <n v="25"/>
  </r>
  <r>
    <n v="3412"/>
    <x v="178"/>
    <x v="1"/>
    <d v="2024-08-25T00:00:00"/>
    <x v="0"/>
    <x v="1"/>
    <x v="1"/>
    <s v="No"/>
    <s v="-"/>
    <s v="No"/>
    <n v="0"/>
    <n v="0"/>
    <n v="5"/>
  </r>
  <r>
    <n v="3413"/>
    <x v="179"/>
    <x v="0"/>
    <d v="2024-08-26T00:00:00"/>
    <x v="1"/>
    <x v="0"/>
    <x v="2"/>
    <s v="Yes"/>
    <n v="30"/>
    <s v="Yes"/>
    <n v="20"/>
    <n v="20"/>
    <n v="45"/>
  </r>
  <r>
    <n v="3414"/>
    <x v="180"/>
    <x v="2"/>
    <d v="2024-08-27T00:00:00"/>
    <x v="0"/>
    <x v="2"/>
    <x v="2"/>
    <s v="No"/>
    <s v="-"/>
    <s v="Yes"/>
    <n v="20"/>
    <n v="12"/>
    <n v="18"/>
  </r>
  <r>
    <n v="3415"/>
    <x v="181"/>
    <x v="1"/>
    <d v="2024-08-28T00:00:00"/>
    <x v="1"/>
    <x v="1"/>
    <x v="0"/>
    <s v="No"/>
    <s v="-"/>
    <s v="No"/>
    <n v="0"/>
    <n v="2"/>
    <n v="3"/>
  </r>
  <r>
    <n v="3416"/>
    <x v="182"/>
    <x v="0"/>
    <d v="2024-08-29T00:00:00"/>
    <x v="0"/>
    <x v="0"/>
    <x v="1"/>
    <s v="Yes"/>
    <n v="30"/>
    <s v="Yes"/>
    <n v="20"/>
    <n v="5"/>
    <n v="60"/>
  </r>
  <r>
    <n v="3417"/>
    <x v="183"/>
    <x v="2"/>
    <d v="2024-08-30T00:00:00"/>
    <x v="1"/>
    <x v="2"/>
    <x v="0"/>
    <s v="No"/>
    <s v="-"/>
    <s v="Yes"/>
    <n v="20"/>
    <n v="10"/>
    <n v="20"/>
  </r>
  <r>
    <n v="3418"/>
    <x v="184"/>
    <x v="1"/>
    <d v="2024-08-31T00:00:00"/>
    <x v="0"/>
    <x v="1"/>
    <x v="2"/>
    <s v="No"/>
    <s v="-"/>
    <s v="No"/>
    <n v="0"/>
    <n v="0"/>
    <n v="5"/>
  </r>
  <r>
    <n v="3419"/>
    <x v="185"/>
    <x v="0"/>
    <d v="2024-09-01T00:00:00"/>
    <x v="1"/>
    <x v="0"/>
    <x v="0"/>
    <s v="Yes"/>
    <n v="30"/>
    <s v="Yes"/>
    <n v="20"/>
    <n v="3"/>
    <n v="62"/>
  </r>
  <r>
    <n v="3420"/>
    <x v="186"/>
    <x v="2"/>
    <d v="2024-09-02T00:00:00"/>
    <x v="0"/>
    <x v="2"/>
    <x v="1"/>
    <s v="No"/>
    <s v="-"/>
    <s v="Yes"/>
    <n v="20"/>
    <n v="15"/>
    <n v="15"/>
  </r>
  <r>
    <n v="3421"/>
    <x v="15"/>
    <x v="1"/>
    <d v="2024-09-03T00:00:00"/>
    <x v="1"/>
    <x v="1"/>
    <x v="0"/>
    <s v="No"/>
    <s v="-"/>
    <s v="No"/>
    <n v="0"/>
    <n v="1"/>
    <n v="4"/>
  </r>
  <r>
    <n v="3422"/>
    <x v="187"/>
    <x v="0"/>
    <d v="2024-09-04T00:00:00"/>
    <x v="0"/>
    <x v="0"/>
    <x v="2"/>
    <s v="Yes"/>
    <n v="30"/>
    <s v="Yes"/>
    <n v="20"/>
    <n v="7"/>
    <n v="58"/>
  </r>
  <r>
    <n v="3423"/>
    <x v="188"/>
    <x v="2"/>
    <d v="2024-09-05T00:00:00"/>
    <x v="1"/>
    <x v="2"/>
    <x v="0"/>
    <s v="No"/>
    <s v="-"/>
    <s v="Yes"/>
    <n v="20"/>
    <n v="10"/>
    <n v="20"/>
  </r>
  <r>
    <n v="3424"/>
    <x v="14"/>
    <x v="1"/>
    <d v="2024-09-06T00:00:00"/>
    <x v="0"/>
    <x v="1"/>
    <x v="1"/>
    <s v="No"/>
    <s v="-"/>
    <s v="No"/>
    <n v="0"/>
    <n v="0"/>
    <n v="5"/>
  </r>
  <r>
    <n v="3425"/>
    <x v="189"/>
    <x v="0"/>
    <d v="2024-09-07T00:00:00"/>
    <x v="1"/>
    <x v="0"/>
    <x v="0"/>
    <s v="Yes"/>
    <n v="30"/>
    <s v="Yes"/>
    <n v="20"/>
    <n v="20"/>
    <n v="45"/>
  </r>
  <r>
    <n v="3426"/>
    <x v="167"/>
    <x v="2"/>
    <d v="2024-09-08T00:00:00"/>
    <x v="0"/>
    <x v="2"/>
    <x v="2"/>
    <s v="No"/>
    <s v="-"/>
    <s v="Yes"/>
    <n v="20"/>
    <n v="15"/>
    <n v="15"/>
  </r>
  <r>
    <n v="3427"/>
    <x v="190"/>
    <x v="1"/>
    <d v="2024-09-09T00:00:00"/>
    <x v="1"/>
    <x v="1"/>
    <x v="0"/>
    <s v="No"/>
    <s v="-"/>
    <s v="No"/>
    <n v="0"/>
    <n v="1"/>
    <n v="4"/>
  </r>
  <r>
    <n v="3428"/>
    <x v="191"/>
    <x v="0"/>
    <d v="2024-09-10T00:00:00"/>
    <x v="0"/>
    <x v="0"/>
    <x v="1"/>
    <s v="Yes"/>
    <n v="30"/>
    <s v="Yes"/>
    <n v="20"/>
    <n v="3"/>
    <n v="62"/>
  </r>
  <r>
    <n v="3429"/>
    <x v="192"/>
    <x v="2"/>
    <d v="2024-09-11T00:00:00"/>
    <x v="1"/>
    <x v="2"/>
    <x v="0"/>
    <s v="No"/>
    <s v="-"/>
    <s v="Yes"/>
    <n v="20"/>
    <n v="10"/>
    <n v="20"/>
  </r>
  <r>
    <n v="3430"/>
    <x v="193"/>
    <x v="1"/>
    <d v="2024-09-12T00:00:00"/>
    <x v="0"/>
    <x v="1"/>
    <x v="2"/>
    <s v="No"/>
    <s v="-"/>
    <s v="No"/>
    <n v="0"/>
    <n v="0"/>
    <n v="5"/>
  </r>
  <r>
    <n v="3431"/>
    <x v="194"/>
    <x v="0"/>
    <d v="2024-09-13T00:00:00"/>
    <x v="1"/>
    <x v="0"/>
    <x v="0"/>
    <s v="Yes"/>
    <n v="30"/>
    <s v="Yes"/>
    <n v="20"/>
    <n v="15"/>
    <n v="50"/>
  </r>
  <r>
    <n v="3432"/>
    <x v="195"/>
    <x v="2"/>
    <d v="2024-09-14T00:00:00"/>
    <x v="0"/>
    <x v="2"/>
    <x v="1"/>
    <s v="No"/>
    <s v="-"/>
    <s v="Yes"/>
    <n v="20"/>
    <n v="15"/>
    <n v="15"/>
  </r>
  <r>
    <n v="3433"/>
    <x v="196"/>
    <x v="1"/>
    <d v="2024-09-15T00:00:00"/>
    <x v="1"/>
    <x v="1"/>
    <x v="0"/>
    <s v="No"/>
    <s v="-"/>
    <s v="No"/>
    <n v="0"/>
    <n v="1"/>
    <n v="4"/>
  </r>
  <r>
    <n v="3434"/>
    <x v="197"/>
    <x v="0"/>
    <d v="2024-09-16T00:00:00"/>
    <x v="0"/>
    <x v="0"/>
    <x v="2"/>
    <s v="Yes"/>
    <n v="30"/>
    <s v="Yes"/>
    <n v="20"/>
    <n v="7"/>
    <n v="58"/>
  </r>
  <r>
    <n v="3435"/>
    <x v="198"/>
    <x v="2"/>
    <d v="2024-09-17T00:00:00"/>
    <x v="1"/>
    <x v="2"/>
    <x v="0"/>
    <s v="No"/>
    <s v="-"/>
    <s v="Yes"/>
    <n v="20"/>
    <n v="10"/>
    <n v="20"/>
  </r>
  <r>
    <n v="3436"/>
    <x v="199"/>
    <x v="1"/>
    <d v="2024-09-18T00:00:00"/>
    <x v="0"/>
    <x v="1"/>
    <x v="0"/>
    <s v="No"/>
    <s v="-"/>
    <s v="No"/>
    <n v="0"/>
    <n v="0"/>
    <n v="5"/>
  </r>
  <r>
    <n v="3437"/>
    <x v="200"/>
    <x v="0"/>
    <d v="2024-09-19T00:00:00"/>
    <x v="1"/>
    <x v="0"/>
    <x v="2"/>
    <s v="Yes"/>
    <n v="30"/>
    <s v="Yes"/>
    <n v="20"/>
    <n v="7"/>
    <n v="58"/>
  </r>
  <r>
    <n v="3438"/>
    <x v="201"/>
    <x v="2"/>
    <d v="2024-09-20T00:00:00"/>
    <x v="0"/>
    <x v="2"/>
    <x v="1"/>
    <s v="No"/>
    <s v="-"/>
    <s v="Yes"/>
    <n v="20"/>
    <n v="10"/>
    <n v="20"/>
  </r>
  <r>
    <n v="3439"/>
    <x v="202"/>
    <x v="1"/>
    <d v="2024-09-21T00:00:00"/>
    <x v="1"/>
    <x v="1"/>
    <x v="2"/>
    <s v="No"/>
    <s v="-"/>
    <s v="No"/>
    <n v="0"/>
    <n v="1"/>
    <n v="4"/>
  </r>
  <r>
    <n v="3440"/>
    <x v="203"/>
    <x v="0"/>
    <d v="2024-09-22T00:00:00"/>
    <x v="0"/>
    <x v="0"/>
    <x v="0"/>
    <s v="Yes"/>
    <n v="30"/>
    <s v="Yes"/>
    <n v="20"/>
    <n v="15"/>
    <n v="50"/>
  </r>
  <r>
    <n v="3441"/>
    <x v="204"/>
    <x v="2"/>
    <d v="2024-09-23T00:00:00"/>
    <x v="1"/>
    <x v="2"/>
    <x v="0"/>
    <s v="No"/>
    <s v="-"/>
    <s v="Yes"/>
    <n v="20"/>
    <n v="5"/>
    <n v="25"/>
  </r>
  <r>
    <n v="3442"/>
    <x v="205"/>
    <x v="1"/>
    <d v="2024-09-24T00:00:00"/>
    <x v="0"/>
    <x v="1"/>
    <x v="1"/>
    <s v="No"/>
    <s v="-"/>
    <s v="No"/>
    <n v="0"/>
    <n v="0"/>
    <n v="5"/>
  </r>
  <r>
    <n v="3443"/>
    <x v="206"/>
    <x v="0"/>
    <d v="2024-09-25T00:00:00"/>
    <x v="1"/>
    <x v="0"/>
    <x v="2"/>
    <s v="Yes"/>
    <n v="30"/>
    <s v="Yes"/>
    <n v="20"/>
    <n v="20"/>
    <n v="45"/>
  </r>
  <r>
    <n v="3444"/>
    <x v="207"/>
    <x v="2"/>
    <d v="2024-09-26T00:00:00"/>
    <x v="0"/>
    <x v="2"/>
    <x v="2"/>
    <s v="No"/>
    <s v="-"/>
    <s v="Yes"/>
    <n v="20"/>
    <n v="12"/>
    <n v="18"/>
  </r>
  <r>
    <n v="3445"/>
    <x v="37"/>
    <x v="1"/>
    <d v="2024-09-27T00:00:00"/>
    <x v="1"/>
    <x v="1"/>
    <x v="0"/>
    <s v="No"/>
    <s v="-"/>
    <s v="No"/>
    <n v="0"/>
    <n v="2"/>
    <n v="3"/>
  </r>
  <r>
    <n v="3446"/>
    <x v="208"/>
    <x v="0"/>
    <d v="2024-09-28T00:00:00"/>
    <x v="0"/>
    <x v="0"/>
    <x v="1"/>
    <s v="Yes"/>
    <n v="30"/>
    <s v="Yes"/>
    <n v="20"/>
    <n v="5"/>
    <n v="60"/>
  </r>
  <r>
    <n v="3447"/>
    <x v="209"/>
    <x v="2"/>
    <d v="2024-09-29T00:00:00"/>
    <x v="1"/>
    <x v="2"/>
    <x v="0"/>
    <s v="No"/>
    <s v="-"/>
    <s v="Yes"/>
    <n v="20"/>
    <n v="10"/>
    <n v="20"/>
  </r>
  <r>
    <n v="3448"/>
    <x v="210"/>
    <x v="1"/>
    <d v="2024-09-30T00:00:00"/>
    <x v="0"/>
    <x v="1"/>
    <x v="2"/>
    <s v="No"/>
    <s v="-"/>
    <s v="No"/>
    <n v="0"/>
    <n v="0"/>
    <n v="5"/>
  </r>
  <r>
    <n v="3449"/>
    <x v="211"/>
    <x v="0"/>
    <d v="2024-10-01T00:00:00"/>
    <x v="1"/>
    <x v="0"/>
    <x v="0"/>
    <s v="Yes"/>
    <n v="30"/>
    <s v="Yes"/>
    <n v="20"/>
    <n v="3"/>
    <n v="62"/>
  </r>
  <r>
    <n v="3450"/>
    <x v="212"/>
    <x v="2"/>
    <d v="2024-10-02T00:00:00"/>
    <x v="0"/>
    <x v="2"/>
    <x v="1"/>
    <s v="No"/>
    <s v="-"/>
    <s v="Yes"/>
    <n v="20"/>
    <n v="15"/>
    <n v="15"/>
  </r>
  <r>
    <n v="3451"/>
    <x v="213"/>
    <x v="1"/>
    <d v="2024-10-03T00:00:00"/>
    <x v="1"/>
    <x v="1"/>
    <x v="0"/>
    <s v="No"/>
    <s v="-"/>
    <s v="No"/>
    <n v="0"/>
    <n v="1"/>
    <n v="4"/>
  </r>
  <r>
    <n v="3452"/>
    <x v="191"/>
    <x v="0"/>
    <d v="2024-10-04T00:00:00"/>
    <x v="0"/>
    <x v="0"/>
    <x v="2"/>
    <s v="Yes"/>
    <n v="30"/>
    <s v="Yes"/>
    <n v="20"/>
    <n v="7"/>
    <n v="58"/>
  </r>
  <r>
    <n v="3453"/>
    <x v="45"/>
    <x v="2"/>
    <d v="2024-10-05T00:00:00"/>
    <x v="1"/>
    <x v="2"/>
    <x v="0"/>
    <s v="No"/>
    <s v="-"/>
    <s v="Yes"/>
    <n v="20"/>
    <n v="10"/>
    <n v="20"/>
  </r>
  <r>
    <n v="3454"/>
    <x v="214"/>
    <x v="1"/>
    <d v="2024-10-06T00:00:00"/>
    <x v="0"/>
    <x v="1"/>
    <x v="1"/>
    <s v="No"/>
    <s v="-"/>
    <s v="No"/>
    <n v="0"/>
    <n v="0"/>
    <n v="5"/>
  </r>
  <r>
    <n v="3455"/>
    <x v="215"/>
    <x v="0"/>
    <d v="2024-10-07T00:00:00"/>
    <x v="1"/>
    <x v="0"/>
    <x v="0"/>
    <s v="Yes"/>
    <n v="30"/>
    <s v="Yes"/>
    <n v="20"/>
    <n v="20"/>
    <n v="45"/>
  </r>
  <r>
    <n v="3456"/>
    <x v="216"/>
    <x v="2"/>
    <d v="2024-10-08T00:00:00"/>
    <x v="0"/>
    <x v="2"/>
    <x v="2"/>
    <s v="No"/>
    <s v="-"/>
    <s v="Yes"/>
    <n v="20"/>
    <n v="15"/>
    <n v="15"/>
  </r>
  <r>
    <n v="3457"/>
    <x v="217"/>
    <x v="1"/>
    <d v="2024-10-09T00:00:00"/>
    <x v="1"/>
    <x v="1"/>
    <x v="0"/>
    <s v="No"/>
    <s v="-"/>
    <s v="No"/>
    <n v="0"/>
    <n v="1"/>
    <n v="4"/>
  </r>
  <r>
    <n v="3458"/>
    <x v="218"/>
    <x v="0"/>
    <d v="2024-10-10T00:00:00"/>
    <x v="0"/>
    <x v="0"/>
    <x v="1"/>
    <s v="Yes"/>
    <n v="30"/>
    <s v="Yes"/>
    <n v="20"/>
    <n v="3"/>
    <n v="62"/>
  </r>
  <r>
    <n v="3459"/>
    <x v="219"/>
    <x v="2"/>
    <d v="2024-10-11T00:00:00"/>
    <x v="1"/>
    <x v="2"/>
    <x v="0"/>
    <s v="No"/>
    <s v="-"/>
    <s v="Yes"/>
    <n v="20"/>
    <n v="10"/>
    <n v="20"/>
  </r>
  <r>
    <n v="3460"/>
    <x v="127"/>
    <x v="1"/>
    <d v="2024-10-12T00:00:00"/>
    <x v="0"/>
    <x v="1"/>
    <x v="2"/>
    <s v="No"/>
    <s v="-"/>
    <s v="No"/>
    <n v="0"/>
    <n v="0"/>
    <n v="5"/>
  </r>
  <r>
    <n v="3461"/>
    <x v="220"/>
    <x v="0"/>
    <d v="2024-10-13T00:00:00"/>
    <x v="1"/>
    <x v="0"/>
    <x v="0"/>
    <s v="Yes"/>
    <n v="30"/>
    <s v="Yes"/>
    <n v="20"/>
    <n v="15"/>
    <n v="50"/>
  </r>
  <r>
    <n v="3462"/>
    <x v="221"/>
    <x v="2"/>
    <d v="2024-10-14T00:00:00"/>
    <x v="0"/>
    <x v="2"/>
    <x v="1"/>
    <s v="No"/>
    <s v="-"/>
    <s v="Yes"/>
    <n v="20"/>
    <n v="15"/>
    <n v="15"/>
  </r>
  <r>
    <n v="3463"/>
    <x v="222"/>
    <x v="1"/>
    <d v="2024-10-15T00:00:00"/>
    <x v="1"/>
    <x v="1"/>
    <x v="0"/>
    <s v="No"/>
    <s v="-"/>
    <s v="No"/>
    <n v="0"/>
    <n v="1"/>
    <n v="4"/>
  </r>
  <r>
    <n v="3464"/>
    <x v="223"/>
    <x v="0"/>
    <d v="2024-10-16T00:00:00"/>
    <x v="0"/>
    <x v="0"/>
    <x v="2"/>
    <s v="Yes"/>
    <n v="30"/>
    <s v="Yes"/>
    <n v="20"/>
    <n v="7"/>
    <n v="58"/>
  </r>
  <r>
    <n v="3465"/>
    <x v="224"/>
    <x v="2"/>
    <d v="2024-10-17T00:00:00"/>
    <x v="1"/>
    <x v="2"/>
    <x v="0"/>
    <s v="No"/>
    <s v="-"/>
    <s v="Yes"/>
    <n v="20"/>
    <n v="10"/>
    <n v="20"/>
  </r>
  <r>
    <n v="3466"/>
    <x v="225"/>
    <x v="1"/>
    <d v="2024-10-18T00:00:00"/>
    <x v="0"/>
    <x v="1"/>
    <x v="1"/>
    <s v="No"/>
    <s v="-"/>
    <s v="No"/>
    <n v="0"/>
    <n v="0"/>
    <n v="5"/>
  </r>
  <r>
    <n v="3467"/>
    <x v="226"/>
    <x v="0"/>
    <d v="2024-10-19T00:00:00"/>
    <x v="1"/>
    <x v="0"/>
    <x v="0"/>
    <s v="Yes"/>
    <n v="30"/>
    <s v="Yes"/>
    <n v="20"/>
    <n v="15"/>
    <n v="50"/>
  </r>
  <r>
    <n v="3468"/>
    <x v="227"/>
    <x v="2"/>
    <d v="2024-10-20T00:00:00"/>
    <x v="0"/>
    <x v="2"/>
    <x v="2"/>
    <s v="No"/>
    <s v="-"/>
    <s v="Yes"/>
    <n v="20"/>
    <n v="12"/>
    <n v="18"/>
  </r>
  <r>
    <n v="3469"/>
    <x v="228"/>
    <x v="1"/>
    <d v="2024-10-21T00:00:00"/>
    <x v="1"/>
    <x v="1"/>
    <x v="0"/>
    <s v="No"/>
    <s v="-"/>
    <s v="No"/>
    <n v="0"/>
    <n v="2"/>
    <n v="3"/>
  </r>
  <r>
    <n v="3470"/>
    <x v="229"/>
    <x v="0"/>
    <d v="2024-10-22T00:00:00"/>
    <x v="0"/>
    <x v="0"/>
    <x v="1"/>
    <s v="Yes"/>
    <n v="30"/>
    <s v="Yes"/>
    <n v="20"/>
    <n v="5"/>
    <n v="60"/>
  </r>
  <r>
    <n v="3471"/>
    <x v="230"/>
    <x v="2"/>
    <d v="2024-10-23T00:00:00"/>
    <x v="1"/>
    <x v="2"/>
    <x v="0"/>
    <s v="No"/>
    <s v="-"/>
    <s v="Yes"/>
    <n v="20"/>
    <n v="10"/>
    <n v="20"/>
  </r>
  <r>
    <n v="3472"/>
    <x v="231"/>
    <x v="1"/>
    <d v="2024-10-24T00:00:00"/>
    <x v="0"/>
    <x v="1"/>
    <x v="2"/>
    <s v="No"/>
    <s v="-"/>
    <s v="No"/>
    <n v="0"/>
    <n v="0"/>
    <n v="5"/>
  </r>
  <r>
    <n v="3473"/>
    <x v="140"/>
    <x v="0"/>
    <d v="2024-10-25T00:00:00"/>
    <x v="1"/>
    <x v="0"/>
    <x v="0"/>
    <s v="Yes"/>
    <n v="30"/>
    <s v="Yes"/>
    <n v="20"/>
    <n v="3"/>
    <n v="62"/>
  </r>
  <r>
    <n v="3474"/>
    <x v="232"/>
    <x v="2"/>
    <d v="2024-10-26T00:00:00"/>
    <x v="0"/>
    <x v="2"/>
    <x v="1"/>
    <s v="No"/>
    <s v="-"/>
    <s v="Yes"/>
    <n v="20"/>
    <n v="15"/>
    <n v="15"/>
  </r>
  <r>
    <n v="3475"/>
    <x v="233"/>
    <x v="1"/>
    <d v="2024-10-27T00:00:00"/>
    <x v="1"/>
    <x v="1"/>
    <x v="0"/>
    <s v="No"/>
    <s v="-"/>
    <s v="No"/>
    <n v="0"/>
    <n v="1"/>
    <n v="4"/>
  </r>
  <r>
    <n v="3476"/>
    <x v="234"/>
    <x v="0"/>
    <d v="2024-10-28T00:00:00"/>
    <x v="0"/>
    <x v="0"/>
    <x v="2"/>
    <s v="Yes"/>
    <n v="30"/>
    <s v="Yes"/>
    <n v="20"/>
    <n v="7"/>
    <n v="58"/>
  </r>
  <r>
    <n v="3477"/>
    <x v="235"/>
    <x v="2"/>
    <d v="2024-10-29T00:00:00"/>
    <x v="1"/>
    <x v="2"/>
    <x v="0"/>
    <s v="No"/>
    <s v="-"/>
    <s v="Yes"/>
    <n v="20"/>
    <n v="10"/>
    <n v="20"/>
  </r>
  <r>
    <n v="3478"/>
    <x v="236"/>
    <x v="1"/>
    <d v="2024-10-30T00:00:00"/>
    <x v="0"/>
    <x v="1"/>
    <x v="1"/>
    <s v="No"/>
    <s v="-"/>
    <s v="No"/>
    <n v="0"/>
    <n v="0"/>
    <n v="5"/>
  </r>
  <r>
    <n v="3479"/>
    <x v="237"/>
    <x v="0"/>
    <d v="2024-10-31T00:00:00"/>
    <x v="1"/>
    <x v="0"/>
    <x v="0"/>
    <s v="Yes"/>
    <n v="30"/>
    <s v="Yes"/>
    <n v="20"/>
    <n v="20"/>
    <n v="45"/>
  </r>
  <r>
    <n v="3480"/>
    <x v="238"/>
    <x v="2"/>
    <d v="2024-11-01T00:00:00"/>
    <x v="0"/>
    <x v="2"/>
    <x v="2"/>
    <s v="No"/>
    <s v="-"/>
    <s v="Yes"/>
    <n v="20"/>
    <n v="15"/>
    <n v="15"/>
  </r>
  <r>
    <n v="3481"/>
    <x v="239"/>
    <x v="1"/>
    <d v="2024-11-02T00:00:00"/>
    <x v="1"/>
    <x v="1"/>
    <x v="0"/>
    <s v="No"/>
    <s v="-"/>
    <s v="No"/>
    <n v="0"/>
    <n v="1"/>
    <n v="4"/>
  </r>
  <r>
    <n v="3482"/>
    <x v="240"/>
    <x v="0"/>
    <d v="2024-11-03T00:00:00"/>
    <x v="0"/>
    <x v="0"/>
    <x v="1"/>
    <s v="Yes"/>
    <n v="30"/>
    <s v="Yes"/>
    <n v="20"/>
    <n v="3"/>
    <n v="62"/>
  </r>
  <r>
    <n v="3483"/>
    <x v="241"/>
    <x v="2"/>
    <d v="2024-11-04T00:00:00"/>
    <x v="1"/>
    <x v="2"/>
    <x v="0"/>
    <s v="No"/>
    <s v="-"/>
    <s v="Yes"/>
    <n v="20"/>
    <n v="10"/>
    <n v="20"/>
  </r>
  <r>
    <n v="3484"/>
    <x v="242"/>
    <x v="1"/>
    <d v="2024-11-05T00:00:00"/>
    <x v="0"/>
    <x v="1"/>
    <x v="2"/>
    <s v="No"/>
    <s v="-"/>
    <s v="No"/>
    <n v="0"/>
    <n v="0"/>
    <n v="5"/>
  </r>
  <r>
    <n v="3485"/>
    <x v="243"/>
    <x v="0"/>
    <d v="2024-11-06T00:00:00"/>
    <x v="1"/>
    <x v="0"/>
    <x v="0"/>
    <s v="Yes"/>
    <n v="30"/>
    <s v="Yes"/>
    <n v="20"/>
    <n v="15"/>
    <n v="50"/>
  </r>
  <r>
    <n v="3486"/>
    <x v="244"/>
    <x v="1"/>
    <d v="2024-11-07T00:00:00"/>
    <x v="0"/>
    <x v="1"/>
    <x v="0"/>
    <s v="No"/>
    <s v="-"/>
    <s v="No"/>
    <n v="0"/>
    <n v="0"/>
    <n v="5"/>
  </r>
  <r>
    <n v="3487"/>
    <x v="245"/>
    <x v="0"/>
    <d v="2024-11-08T00:00:00"/>
    <x v="1"/>
    <x v="0"/>
    <x v="2"/>
    <s v="Yes"/>
    <n v="30"/>
    <s v="Yes"/>
    <n v="20"/>
    <n v="7"/>
    <n v="58"/>
  </r>
  <r>
    <n v="3488"/>
    <x v="246"/>
    <x v="2"/>
    <d v="2024-11-09T00:00:00"/>
    <x v="0"/>
    <x v="2"/>
    <x v="1"/>
    <s v="No"/>
    <s v="-"/>
    <s v="Yes"/>
    <n v="20"/>
    <n v="10"/>
    <n v="20"/>
  </r>
  <r>
    <n v="3489"/>
    <x v="247"/>
    <x v="1"/>
    <d v="2024-11-10T00:00:00"/>
    <x v="1"/>
    <x v="1"/>
    <x v="2"/>
    <s v="No"/>
    <s v="-"/>
    <s v="No"/>
    <n v="0"/>
    <n v="1"/>
    <n v="4"/>
  </r>
  <r>
    <n v="3490"/>
    <x v="248"/>
    <x v="0"/>
    <d v="2024-11-11T00:00:00"/>
    <x v="0"/>
    <x v="0"/>
    <x v="0"/>
    <s v="Yes"/>
    <n v="30"/>
    <s v="Yes"/>
    <n v="20"/>
    <n v="15"/>
    <n v="50"/>
  </r>
  <r>
    <n v="3491"/>
    <x v="249"/>
    <x v="2"/>
    <d v="2024-11-12T00:00:00"/>
    <x v="1"/>
    <x v="2"/>
    <x v="0"/>
    <s v="No"/>
    <s v="-"/>
    <s v="Yes"/>
    <n v="20"/>
    <n v="5"/>
    <n v="25"/>
  </r>
  <r>
    <n v="3492"/>
    <x v="250"/>
    <x v="1"/>
    <d v="2024-11-13T00:00:00"/>
    <x v="0"/>
    <x v="1"/>
    <x v="1"/>
    <s v="No"/>
    <s v="-"/>
    <s v="No"/>
    <n v="0"/>
    <n v="0"/>
    <n v="5"/>
  </r>
  <r>
    <n v="3493"/>
    <x v="251"/>
    <x v="0"/>
    <d v="2024-11-14T00:00:00"/>
    <x v="1"/>
    <x v="0"/>
    <x v="2"/>
    <s v="Yes"/>
    <n v="30"/>
    <s v="Yes"/>
    <n v="20"/>
    <n v="20"/>
    <n v="45"/>
  </r>
  <r>
    <n v="3494"/>
    <x v="252"/>
    <x v="2"/>
    <d v="2024-11-15T00:00:00"/>
    <x v="0"/>
    <x v="2"/>
    <x v="2"/>
    <s v="No"/>
    <s v="-"/>
    <s v="Yes"/>
    <n v="20"/>
    <n v="12"/>
    <n v="18"/>
  </r>
  <r>
    <n v="3495"/>
    <x v="253"/>
    <x v="1"/>
    <d v="2024-11-16T00:00:00"/>
    <x v="1"/>
    <x v="1"/>
    <x v="0"/>
    <s v="No"/>
    <s v="-"/>
    <s v="No"/>
    <n v="0"/>
    <n v="2"/>
    <n v="3"/>
  </r>
  <r>
    <n v="3496"/>
    <x v="254"/>
    <x v="0"/>
    <d v="2024-11-17T00:00:00"/>
    <x v="0"/>
    <x v="0"/>
    <x v="1"/>
    <s v="Yes"/>
    <n v="30"/>
    <s v="Yes"/>
    <n v="20"/>
    <n v="5"/>
    <n v="60"/>
  </r>
  <r>
    <n v="3497"/>
    <x v="255"/>
    <x v="2"/>
    <d v="2024-11-18T00:00:00"/>
    <x v="1"/>
    <x v="2"/>
    <x v="0"/>
    <s v="No"/>
    <s v="-"/>
    <s v="Yes"/>
    <n v="20"/>
    <n v="10"/>
    <n v="20"/>
  </r>
  <r>
    <n v="3498"/>
    <x v="256"/>
    <x v="1"/>
    <d v="2024-11-19T00:00:00"/>
    <x v="0"/>
    <x v="1"/>
    <x v="2"/>
    <s v="No"/>
    <s v="-"/>
    <s v="No"/>
    <n v="0"/>
    <n v="0"/>
    <n v="5"/>
  </r>
  <r>
    <n v="3499"/>
    <x v="257"/>
    <x v="0"/>
    <d v="2024-11-20T00:00:00"/>
    <x v="1"/>
    <x v="0"/>
    <x v="0"/>
    <s v="Yes"/>
    <n v="30"/>
    <s v="Yes"/>
    <n v="20"/>
    <n v="3"/>
    <n v="62"/>
  </r>
  <r>
    <n v="3500"/>
    <x v="258"/>
    <x v="2"/>
    <d v="2024-11-21T00:00:00"/>
    <x v="0"/>
    <x v="2"/>
    <x v="1"/>
    <s v="No"/>
    <s v="-"/>
    <s v="Yes"/>
    <n v="20"/>
    <n v="15"/>
    <n v="15"/>
  </r>
  <r>
    <n v="3501"/>
    <x v="259"/>
    <x v="1"/>
    <d v="2024-11-22T00:00:00"/>
    <x v="1"/>
    <x v="1"/>
    <x v="0"/>
    <s v="No"/>
    <s v="-"/>
    <s v="No"/>
    <n v="0"/>
    <n v="1"/>
    <n v="4"/>
  </r>
  <r>
    <n v="3502"/>
    <x v="260"/>
    <x v="0"/>
    <d v="2024-11-23T00:00:00"/>
    <x v="0"/>
    <x v="0"/>
    <x v="2"/>
    <s v="Yes"/>
    <n v="30"/>
    <s v="Yes"/>
    <n v="20"/>
    <n v="7"/>
    <n v="58"/>
  </r>
  <r>
    <n v="3503"/>
    <x v="119"/>
    <x v="2"/>
    <d v="2024-11-24T00:00:00"/>
    <x v="1"/>
    <x v="2"/>
    <x v="0"/>
    <s v="No"/>
    <s v="-"/>
    <s v="Yes"/>
    <n v="20"/>
    <n v="10"/>
    <n v="20"/>
  </r>
  <r>
    <n v="3504"/>
    <x v="261"/>
    <x v="1"/>
    <d v="2024-11-25T00:00:00"/>
    <x v="0"/>
    <x v="1"/>
    <x v="1"/>
    <s v="No"/>
    <s v="-"/>
    <s v="No"/>
    <n v="0"/>
    <n v="0"/>
    <n v="5"/>
  </r>
  <r>
    <n v="3505"/>
    <x v="262"/>
    <x v="0"/>
    <d v="2024-11-26T00:00:00"/>
    <x v="1"/>
    <x v="0"/>
    <x v="0"/>
    <s v="Yes"/>
    <n v="30"/>
    <s v="Yes"/>
    <n v="20"/>
    <n v="20"/>
    <n v="45"/>
  </r>
  <r>
    <n v="3506"/>
    <x v="263"/>
    <x v="2"/>
    <d v="2024-11-27T00:00:00"/>
    <x v="0"/>
    <x v="2"/>
    <x v="2"/>
    <s v="No"/>
    <s v="-"/>
    <s v="Yes"/>
    <n v="20"/>
    <n v="15"/>
    <n v="15"/>
  </r>
  <r>
    <n v="3507"/>
    <x v="264"/>
    <x v="1"/>
    <d v="2024-11-28T00:00:00"/>
    <x v="1"/>
    <x v="1"/>
    <x v="0"/>
    <s v="No"/>
    <s v="-"/>
    <s v="No"/>
    <n v="0"/>
    <n v="1"/>
    <n v="4"/>
  </r>
  <r>
    <n v="3508"/>
    <x v="265"/>
    <x v="0"/>
    <d v="2024-11-29T00:00:00"/>
    <x v="0"/>
    <x v="0"/>
    <x v="1"/>
    <s v="Yes"/>
    <n v="30"/>
    <s v="Yes"/>
    <n v="20"/>
    <n v="3"/>
    <n v="62"/>
  </r>
  <r>
    <n v="3509"/>
    <x v="266"/>
    <x v="2"/>
    <d v="2024-11-30T00:00:00"/>
    <x v="1"/>
    <x v="2"/>
    <x v="0"/>
    <s v="No"/>
    <s v="-"/>
    <s v="Yes"/>
    <n v="20"/>
    <n v="10"/>
    <n v="20"/>
  </r>
  <r>
    <n v="3510"/>
    <x v="267"/>
    <x v="1"/>
    <d v="2024-12-01T00:00:00"/>
    <x v="0"/>
    <x v="1"/>
    <x v="2"/>
    <s v="No"/>
    <s v="-"/>
    <s v="No"/>
    <n v="0"/>
    <n v="0"/>
    <n v="5"/>
  </r>
  <r>
    <n v="3511"/>
    <x v="268"/>
    <x v="0"/>
    <d v="2024-12-02T00:00:00"/>
    <x v="1"/>
    <x v="0"/>
    <x v="0"/>
    <s v="Yes"/>
    <n v="30"/>
    <s v="Yes"/>
    <n v="20"/>
    <n v="15"/>
    <n v="50"/>
  </r>
  <r>
    <n v="3512"/>
    <x v="269"/>
    <x v="2"/>
    <d v="2024-12-03T00:00:00"/>
    <x v="0"/>
    <x v="2"/>
    <x v="1"/>
    <s v="No"/>
    <s v="-"/>
    <s v="Yes"/>
    <n v="20"/>
    <n v="15"/>
    <n v="15"/>
  </r>
  <r>
    <n v="3513"/>
    <x v="270"/>
    <x v="1"/>
    <d v="2024-12-04T00:00:00"/>
    <x v="1"/>
    <x v="1"/>
    <x v="0"/>
    <s v="No"/>
    <s v="-"/>
    <s v="No"/>
    <n v="0"/>
    <n v="1"/>
    <n v="4"/>
  </r>
  <r>
    <n v="3514"/>
    <x v="271"/>
    <x v="0"/>
    <d v="2024-12-05T00:00:00"/>
    <x v="0"/>
    <x v="0"/>
    <x v="2"/>
    <s v="Yes"/>
    <n v="30"/>
    <s v="Yes"/>
    <n v="20"/>
    <n v="7"/>
    <n v="58"/>
  </r>
  <r>
    <n v="3515"/>
    <x v="130"/>
    <x v="2"/>
    <d v="2024-12-06T00:00:00"/>
    <x v="1"/>
    <x v="2"/>
    <x v="0"/>
    <s v="No"/>
    <s v="-"/>
    <s v="Yes"/>
    <n v="20"/>
    <n v="10"/>
    <n v="20"/>
  </r>
  <r>
    <n v="3516"/>
    <x v="131"/>
    <x v="1"/>
    <d v="2024-12-07T00:00:00"/>
    <x v="0"/>
    <x v="1"/>
    <x v="1"/>
    <s v="No"/>
    <s v="-"/>
    <s v="No"/>
    <n v="0"/>
    <n v="0"/>
    <n v="5"/>
  </r>
  <r>
    <n v="3517"/>
    <x v="181"/>
    <x v="0"/>
    <d v="2024-12-08T00:00:00"/>
    <x v="1"/>
    <x v="0"/>
    <x v="0"/>
    <s v="Yes"/>
    <n v="30"/>
    <s v="Yes"/>
    <n v="20"/>
    <n v="20"/>
    <n v="45"/>
  </r>
  <r>
    <n v="3518"/>
    <x v="272"/>
    <x v="2"/>
    <d v="2024-12-09T00:00:00"/>
    <x v="0"/>
    <x v="2"/>
    <x v="2"/>
    <s v="No"/>
    <s v="-"/>
    <s v="Yes"/>
    <n v="20"/>
    <n v="12"/>
    <n v="18"/>
  </r>
  <r>
    <n v="3519"/>
    <x v="273"/>
    <x v="1"/>
    <d v="2024-12-10T00:00:00"/>
    <x v="1"/>
    <x v="1"/>
    <x v="0"/>
    <s v="No"/>
    <s v="-"/>
    <s v="No"/>
    <n v="0"/>
    <n v="2"/>
    <n v="3"/>
  </r>
  <r>
    <n v="3520"/>
    <x v="274"/>
    <x v="0"/>
    <d v="2024-12-11T00:00:00"/>
    <x v="0"/>
    <x v="0"/>
    <x v="1"/>
    <s v="Yes"/>
    <n v="30"/>
    <s v="Yes"/>
    <n v="20"/>
    <n v="5"/>
    <n v="60"/>
  </r>
  <r>
    <n v="3521"/>
    <x v="275"/>
    <x v="2"/>
    <d v="2024-12-12T00:00:00"/>
    <x v="1"/>
    <x v="2"/>
    <x v="0"/>
    <s v="No"/>
    <s v="-"/>
    <s v="Yes"/>
    <n v="20"/>
    <n v="10"/>
    <n v="20"/>
  </r>
  <r>
    <n v="3522"/>
    <x v="276"/>
    <x v="1"/>
    <d v="2024-12-13T00:00:00"/>
    <x v="0"/>
    <x v="1"/>
    <x v="2"/>
    <s v="No"/>
    <s v="-"/>
    <s v="No"/>
    <n v="0"/>
    <n v="0"/>
    <n v="5"/>
  </r>
  <r>
    <n v="3523"/>
    <x v="277"/>
    <x v="0"/>
    <d v="2024-12-14T00:00:00"/>
    <x v="1"/>
    <x v="0"/>
    <x v="0"/>
    <s v="Yes"/>
    <n v="30"/>
    <s v="Yes"/>
    <n v="20"/>
    <n v="3"/>
    <n v="62"/>
  </r>
  <r>
    <n v="3524"/>
    <x v="278"/>
    <x v="2"/>
    <d v="2024-12-15T00:00:00"/>
    <x v="0"/>
    <x v="2"/>
    <x v="1"/>
    <s v="No"/>
    <s v="-"/>
    <s v="Yes"/>
    <n v="20"/>
    <n v="15"/>
    <n v="15"/>
  </r>
  <r>
    <n v="3525"/>
    <x v="279"/>
    <x v="1"/>
    <d v="2024-12-16T00:00:00"/>
    <x v="1"/>
    <x v="1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233444-058C-407C-8715-0CE344DC3304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3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992B17-8A71-4F06-96C1-40EDD69A790E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2764C1-2366-4157-8EEC-1AC05F6C597C}" name="tbl_eaace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B20:C2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BC4DA556-D73A-48B4-A557-E0E13BD2F4E8}" sourceName="Subscription Type">
  <pivotTables>
    <pivotTable tabId="3" name="tbl_annual_total"/>
    <pivotTable tabId="3" name="tbl_eaacess_total"/>
    <pivotTable tabId="3" name="Tabela dinâmica3"/>
  </pivotTables>
  <data>
    <tabular pivotCacheId="951209171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F17AEAAB-412F-4BFF-ABFD-5590EC9A552B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6">
      <filters>
        <filter val="Annual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CE909D3-645A-447C-868A-946EBAFFF20E}">
  <we:reference id="wa200010215" version="2.0.0.1" store="pt-BR" storeType="OMEX"/>
  <we:alternateReferences>
    <we:reference id="wa200010215" version="2.0.0.1" store="wa200010215" storeType="OMEX"/>
  </we:alternateReferences>
  <we:properties>
    <we:property name="bps.codex_control.document_id" value="&quot;af0c20eb-0a6a-4c6c-b4bf-466350b409b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6" zoomScaleNormal="100" workbookViewId="0">
      <selection activeCell="A22" sqref="A22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A22" sqref="A22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hidden="1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hidden="1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hidden="1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hidden="1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hidden="1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hidden="1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hidden="1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hidden="1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hidden="1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hidden="1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hidden="1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hidden="1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hidden="1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hidden="1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hidden="1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hidden="1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hidden="1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hidden="1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hidden="1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hidden="1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hidden="1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hidden="1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hidden="1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hidden="1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hidden="1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hidden="1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hidden="1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hidden="1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hidden="1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hidden="1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hidden="1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hidden="1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hidden="1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hidden="1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hidden="1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hidden="1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hidden="1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hidden="1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hidden="1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hidden="1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hidden="1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hidden="1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hidden="1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hidden="1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hidden="1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hidden="1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hidden="1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hidden="1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hidden="1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hidden="1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hidden="1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hidden="1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hidden="1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hidden="1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hidden="1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hidden="1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hidden="1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hidden="1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hidden="1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hidden="1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hidden="1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hidden="1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hidden="1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hidden="1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hidden="1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hidden="1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hidden="1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hidden="1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hidden="1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hidden="1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hidden="1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hidden="1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hidden="1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hidden="1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hidden="1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hidden="1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hidden="1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hidden="1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F36"/>
  <sheetViews>
    <sheetView showGridLines="0" topLeftCell="A16" workbookViewId="0">
      <selection activeCell="A22" sqref="A22"/>
    </sheetView>
  </sheetViews>
  <sheetFormatPr defaultRowHeight="14.4" x14ac:dyDescent="0.3"/>
  <cols>
    <col min="2" max="2" width="16.77734375" bestFit="1" customWidth="1"/>
    <col min="3" max="3" width="32.21875" bestFit="1" customWidth="1"/>
    <col min="4" max="4" width="34.5546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2" spans="2:3" x14ac:dyDescent="0.3">
      <c r="B2" s="15" t="s">
        <v>318</v>
      </c>
    </row>
    <row r="4" spans="2:3" x14ac:dyDescent="0.3">
      <c r="B4" t="s">
        <v>317</v>
      </c>
    </row>
    <row r="5" spans="2:3" x14ac:dyDescent="0.3">
      <c r="B5" t="s">
        <v>316</v>
      </c>
    </row>
    <row r="6" spans="2:3" x14ac:dyDescent="0.3">
      <c r="B6" t="s">
        <v>320</v>
      </c>
    </row>
    <row r="9" spans="2:3" x14ac:dyDescent="0.3">
      <c r="B9" s="12" t="s">
        <v>16</v>
      </c>
      <c r="C9" t="s">
        <v>27</v>
      </c>
    </row>
    <row r="11" spans="2:3" x14ac:dyDescent="0.3">
      <c r="B11" s="12" t="s">
        <v>313</v>
      </c>
      <c r="C11" t="s">
        <v>315</v>
      </c>
    </row>
    <row r="12" spans="2:3" x14ac:dyDescent="0.3">
      <c r="B12" s="13" t="s">
        <v>23</v>
      </c>
      <c r="C12" s="14">
        <v>806</v>
      </c>
    </row>
    <row r="13" spans="2:3" x14ac:dyDescent="0.3">
      <c r="B13" s="13" t="s">
        <v>19</v>
      </c>
      <c r="C13" s="14">
        <v>1502</v>
      </c>
    </row>
    <row r="14" spans="2:3" x14ac:dyDescent="0.3">
      <c r="B14" s="13" t="s">
        <v>314</v>
      </c>
      <c r="C14" s="14">
        <v>2308</v>
      </c>
    </row>
    <row r="18" spans="2:6" x14ac:dyDescent="0.3">
      <c r="B18" s="12" t="s">
        <v>16</v>
      </c>
      <c r="C18" t="s">
        <v>27</v>
      </c>
    </row>
    <row r="20" spans="2:6" x14ac:dyDescent="0.3">
      <c r="B20" s="12" t="s">
        <v>313</v>
      </c>
      <c r="C20" t="s">
        <v>321</v>
      </c>
    </row>
    <row r="21" spans="2:6" x14ac:dyDescent="0.3">
      <c r="B21" s="13" t="s">
        <v>22</v>
      </c>
      <c r="C21" s="21">
        <v>0</v>
      </c>
    </row>
    <row r="22" spans="2:6" x14ac:dyDescent="0.3">
      <c r="B22" s="13" t="s">
        <v>26</v>
      </c>
      <c r="C22" s="21">
        <v>0</v>
      </c>
    </row>
    <row r="23" spans="2:6" x14ac:dyDescent="0.3">
      <c r="B23" s="13" t="s">
        <v>18</v>
      </c>
      <c r="C23" s="21">
        <v>990</v>
      </c>
      <c r="F23" s="18">
        <f>GETPIVOTDATA("EA Play Season Pass
Price",$B$20)</f>
        <v>990</v>
      </c>
    </row>
    <row r="24" spans="2:6" ht="23.4" x14ac:dyDescent="0.45">
      <c r="B24" s="13" t="s">
        <v>314</v>
      </c>
      <c r="C24" s="21">
        <v>990</v>
      </c>
      <c r="F24" s="17"/>
    </row>
    <row r="28" spans="2:6" x14ac:dyDescent="0.3">
      <c r="B28" t="s">
        <v>322</v>
      </c>
    </row>
    <row r="30" spans="2:6" x14ac:dyDescent="0.3">
      <c r="B30" s="12" t="s">
        <v>16</v>
      </c>
      <c r="C30" t="s">
        <v>27</v>
      </c>
    </row>
    <row r="32" spans="2:6" x14ac:dyDescent="0.3">
      <c r="B32" s="12" t="s">
        <v>313</v>
      </c>
      <c r="C32" t="s">
        <v>323</v>
      </c>
    </row>
    <row r="33" spans="2:6" x14ac:dyDescent="0.3">
      <c r="B33" s="13" t="s">
        <v>22</v>
      </c>
      <c r="C33" s="14">
        <v>0</v>
      </c>
    </row>
    <row r="34" spans="2:6" x14ac:dyDescent="0.3">
      <c r="B34" s="13" t="s">
        <v>26</v>
      </c>
      <c r="C34" s="14">
        <v>480</v>
      </c>
    </row>
    <row r="35" spans="2:6" x14ac:dyDescent="0.3">
      <c r="B35" s="13" t="s">
        <v>18</v>
      </c>
      <c r="C35" s="14">
        <v>660</v>
      </c>
    </row>
    <row r="36" spans="2:6" x14ac:dyDescent="0.3">
      <c r="B36" s="13" t="s">
        <v>314</v>
      </c>
      <c r="C36" s="14">
        <v>1140</v>
      </c>
      <c r="F36" s="18">
        <f>GETPIVOTDATA("Minecraft Season Pass Price",$B$32)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Y136"/>
  <sheetViews>
    <sheetView showGridLines="0" showRowColHeaders="0" tabSelected="1" zoomScale="85" zoomScaleNormal="85" workbookViewId="0">
      <selection activeCell="G39" sqref="G39"/>
    </sheetView>
  </sheetViews>
  <sheetFormatPr defaultRowHeight="14.4" x14ac:dyDescent="0.3"/>
  <cols>
    <col min="1" max="1" width="27.33203125" style="4" customWidth="1"/>
    <col min="2" max="2" width="3.5546875" customWidth="1"/>
    <col min="12" max="12" width="6.5546875" customWidth="1"/>
  </cols>
  <sheetData>
    <row r="1" spans="1:25" ht="36" customHeight="1" x14ac:dyDescent="0.3"/>
    <row r="2" spans="1:25" ht="21.6" customHeight="1" thickBot="1" x14ac:dyDescent="0.45">
      <c r="C2" s="20" t="s">
        <v>319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spans="1:25" ht="21.6" customHeight="1" thickTop="1" x14ac:dyDescent="0.3"/>
    <row r="4" spans="1:25" s="7" customFormat="1" ht="22.2" customHeight="1" x14ac:dyDescent="0.3">
      <c r="A4" s="4"/>
    </row>
    <row r="5" spans="1:25" s="7" customFormat="1" ht="7.5" customHeight="1" x14ac:dyDescent="0.3">
      <c r="A5" s="4"/>
    </row>
    <row r="6" spans="1:25" s="7" customFormat="1" ht="10.5" customHeight="1" x14ac:dyDescent="0.3">
      <c r="A6" s="4"/>
    </row>
    <row r="7" spans="1:25" s="7" customFormat="1" ht="9.75" customHeight="1" x14ac:dyDescent="0.3">
      <c r="A7" s="4"/>
    </row>
    <row r="8" spans="1:25" s="7" customFormat="1" ht="33" customHeight="1" x14ac:dyDescent="0.3">
      <c r="A8" s="4"/>
      <c r="E8" s="7" t="e" vm="1">
        <v>#VALUE!</v>
      </c>
    </row>
    <row r="9" spans="1:25" s="7" customFormat="1" x14ac:dyDescent="0.3">
      <c r="A9" s="4"/>
    </row>
    <row r="10" spans="1:25" s="7" customFormat="1" x14ac:dyDescent="0.3">
      <c r="A10" s="4"/>
    </row>
    <row r="11" spans="1:25" s="7" customFormat="1" x14ac:dyDescent="0.3">
      <c r="A11" s="4"/>
    </row>
    <row r="12" spans="1:25" s="7" customFormat="1" x14ac:dyDescent="0.3">
      <c r="A12" s="4"/>
    </row>
    <row r="13" spans="1:25" s="7" customFormat="1" x14ac:dyDescent="0.3">
      <c r="A13" s="4"/>
    </row>
    <row r="14" spans="1:25" s="7" customFormat="1" x14ac:dyDescent="0.3">
      <c r="A14" s="4"/>
    </row>
    <row r="15" spans="1:25" s="7" customFormat="1" x14ac:dyDescent="0.3">
      <c r="A15" s="4"/>
    </row>
    <row r="16" spans="1:25" s="7" customFormat="1" x14ac:dyDescent="0.3">
      <c r="A16" s="4"/>
    </row>
    <row r="17" spans="1:1" s="7" customFormat="1" x14ac:dyDescent="0.3">
      <c r="A17" s="4"/>
    </row>
    <row r="18" spans="1:1" s="7" customFormat="1" x14ac:dyDescent="0.3">
      <c r="A18" s="4"/>
    </row>
    <row r="19" spans="1:1" s="7" customFormat="1" x14ac:dyDescent="0.3">
      <c r="A19" s="4"/>
    </row>
    <row r="20" spans="1:1" s="7" customFormat="1" x14ac:dyDescent="0.3">
      <c r="A20" s="4"/>
    </row>
    <row r="21" spans="1:1" s="7" customFormat="1" x14ac:dyDescent="0.3">
      <c r="A21" s="4"/>
    </row>
    <row r="22" spans="1:1" s="7" customFormat="1" x14ac:dyDescent="0.3">
      <c r="A22" s="4"/>
    </row>
    <row r="23" spans="1:1" s="7" customFormat="1" x14ac:dyDescent="0.3">
      <c r="A23" s="4"/>
    </row>
    <row r="24" spans="1:1" s="7" customFormat="1" x14ac:dyDescent="0.3">
      <c r="A24" s="4"/>
    </row>
    <row r="25" spans="1:1" s="7" customFormat="1" x14ac:dyDescent="0.3">
      <c r="A25" s="4"/>
    </row>
    <row r="26" spans="1:1" s="7" customFormat="1" x14ac:dyDescent="0.3">
      <c r="A26" s="4"/>
    </row>
    <row r="27" spans="1:1" s="7" customFormat="1" x14ac:dyDescent="0.3">
      <c r="A27" s="4"/>
    </row>
    <row r="28" spans="1:1" s="7" customFormat="1" x14ac:dyDescent="0.3">
      <c r="A28" s="4"/>
    </row>
    <row r="29" spans="1:1" s="7" customFormat="1" x14ac:dyDescent="0.3">
      <c r="A29" s="4"/>
    </row>
    <row r="30" spans="1:1" s="7" customFormat="1" x14ac:dyDescent="0.3">
      <c r="A30" s="4"/>
    </row>
    <row r="31" spans="1:1" s="7" customFormat="1" x14ac:dyDescent="0.3">
      <c r="A31" s="4"/>
    </row>
    <row r="32" spans="1:1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  <row r="51" spans="1:1" s="7" customFormat="1" x14ac:dyDescent="0.3">
      <c r="A51" s="4"/>
    </row>
    <row r="52" spans="1:1" s="7" customFormat="1" x14ac:dyDescent="0.3">
      <c r="A52" s="4"/>
    </row>
    <row r="53" spans="1:1" s="7" customFormat="1" x14ac:dyDescent="0.3">
      <c r="A53" s="4"/>
    </row>
    <row r="54" spans="1:1" s="7" customFormat="1" x14ac:dyDescent="0.3">
      <c r="A54" s="4"/>
    </row>
    <row r="55" spans="1:1" s="7" customFormat="1" x14ac:dyDescent="0.3">
      <c r="A55" s="4"/>
    </row>
    <row r="56" spans="1:1" s="7" customFormat="1" x14ac:dyDescent="0.3">
      <c r="A56" s="4"/>
    </row>
    <row r="57" spans="1:1" s="7" customFormat="1" x14ac:dyDescent="0.3">
      <c r="A57" s="4"/>
    </row>
    <row r="58" spans="1:1" s="7" customFormat="1" x14ac:dyDescent="0.3">
      <c r="A58" s="4"/>
    </row>
    <row r="59" spans="1:1" s="7" customFormat="1" x14ac:dyDescent="0.3">
      <c r="A59" s="4"/>
    </row>
    <row r="60" spans="1:1" s="7" customFormat="1" x14ac:dyDescent="0.3">
      <c r="A60" s="4"/>
    </row>
    <row r="61" spans="1:1" s="7" customFormat="1" x14ac:dyDescent="0.3">
      <c r="A61" s="4"/>
    </row>
    <row r="62" spans="1:1" s="7" customFormat="1" x14ac:dyDescent="0.3">
      <c r="A62" s="4"/>
    </row>
    <row r="63" spans="1:1" s="7" customFormat="1" x14ac:dyDescent="0.3">
      <c r="A63" s="4"/>
    </row>
    <row r="64" spans="1:1" s="7" customFormat="1" x14ac:dyDescent="0.3">
      <c r="A64" s="4"/>
    </row>
    <row r="65" spans="1:1" s="7" customFormat="1" x14ac:dyDescent="0.3">
      <c r="A65" s="4"/>
    </row>
    <row r="66" spans="1:1" s="7" customFormat="1" x14ac:dyDescent="0.3">
      <c r="A66" s="4"/>
    </row>
    <row r="67" spans="1:1" s="7" customFormat="1" x14ac:dyDescent="0.3">
      <c r="A67" s="4"/>
    </row>
    <row r="68" spans="1:1" s="7" customFormat="1" x14ac:dyDescent="0.3">
      <c r="A68" s="4"/>
    </row>
    <row r="69" spans="1:1" s="7" customFormat="1" x14ac:dyDescent="0.3">
      <c r="A69" s="4"/>
    </row>
    <row r="70" spans="1:1" s="7" customFormat="1" x14ac:dyDescent="0.3">
      <c r="A70" s="4"/>
    </row>
    <row r="71" spans="1:1" s="7" customFormat="1" x14ac:dyDescent="0.3">
      <c r="A71" s="4"/>
    </row>
    <row r="72" spans="1:1" s="7" customFormat="1" x14ac:dyDescent="0.3">
      <c r="A72" s="4"/>
    </row>
    <row r="73" spans="1:1" s="7" customFormat="1" x14ac:dyDescent="0.3">
      <c r="A73" s="4"/>
    </row>
    <row r="74" spans="1:1" s="7" customFormat="1" x14ac:dyDescent="0.3">
      <c r="A74" s="4"/>
    </row>
    <row r="75" spans="1:1" s="7" customFormat="1" x14ac:dyDescent="0.3">
      <c r="A75" s="4"/>
    </row>
    <row r="76" spans="1:1" s="7" customFormat="1" x14ac:dyDescent="0.3">
      <c r="A76" s="4"/>
    </row>
    <row r="77" spans="1:1" s="7" customFormat="1" x14ac:dyDescent="0.3">
      <c r="A77" s="4"/>
    </row>
    <row r="78" spans="1:1" s="7" customFormat="1" x14ac:dyDescent="0.3">
      <c r="A78" s="4"/>
    </row>
    <row r="79" spans="1:1" s="7" customFormat="1" x14ac:dyDescent="0.3">
      <c r="A79" s="4"/>
    </row>
    <row r="80" spans="1:1" s="7" customFormat="1" x14ac:dyDescent="0.3">
      <c r="A80" s="4"/>
    </row>
    <row r="81" spans="1:1" s="7" customFormat="1" x14ac:dyDescent="0.3">
      <c r="A81" s="4"/>
    </row>
    <row r="82" spans="1:1" s="7" customFormat="1" x14ac:dyDescent="0.3">
      <c r="A82" s="4"/>
    </row>
    <row r="83" spans="1:1" s="7" customFormat="1" x14ac:dyDescent="0.3">
      <c r="A83" s="4"/>
    </row>
    <row r="84" spans="1:1" s="7" customFormat="1" x14ac:dyDescent="0.3">
      <c r="A84" s="4"/>
    </row>
    <row r="85" spans="1:1" s="7" customFormat="1" x14ac:dyDescent="0.3">
      <c r="A85" s="4"/>
    </row>
    <row r="86" spans="1:1" s="7" customFormat="1" x14ac:dyDescent="0.3">
      <c r="A86" s="4"/>
    </row>
    <row r="87" spans="1:1" s="7" customFormat="1" x14ac:dyDescent="0.3">
      <c r="A87" s="4"/>
    </row>
    <row r="88" spans="1:1" s="7" customFormat="1" x14ac:dyDescent="0.3">
      <c r="A88" s="4"/>
    </row>
    <row r="89" spans="1:1" s="7" customFormat="1" x14ac:dyDescent="0.3">
      <c r="A89" s="4"/>
    </row>
    <row r="90" spans="1:1" s="7" customFormat="1" x14ac:dyDescent="0.3">
      <c r="A90" s="4"/>
    </row>
    <row r="91" spans="1:1" s="7" customFormat="1" x14ac:dyDescent="0.3">
      <c r="A91" s="4"/>
    </row>
    <row r="92" spans="1:1" s="7" customFormat="1" x14ac:dyDescent="0.3">
      <c r="A92" s="4"/>
    </row>
    <row r="93" spans="1:1" s="7" customFormat="1" x14ac:dyDescent="0.3">
      <c r="A93" s="4"/>
    </row>
    <row r="94" spans="1:1" s="7" customFormat="1" x14ac:dyDescent="0.3">
      <c r="A94" s="4"/>
    </row>
    <row r="95" spans="1:1" s="7" customFormat="1" x14ac:dyDescent="0.3">
      <c r="A95" s="4"/>
    </row>
    <row r="96" spans="1:1" s="7" customFormat="1" x14ac:dyDescent="0.3">
      <c r="A96" s="4"/>
    </row>
    <row r="97" spans="1:1" s="7" customFormat="1" x14ac:dyDescent="0.3">
      <c r="A97" s="4"/>
    </row>
    <row r="98" spans="1:1" s="7" customFormat="1" x14ac:dyDescent="0.3">
      <c r="A98" s="4"/>
    </row>
    <row r="99" spans="1:1" s="7" customFormat="1" x14ac:dyDescent="0.3">
      <c r="A99" s="4"/>
    </row>
    <row r="100" spans="1:1" s="7" customFormat="1" x14ac:dyDescent="0.3">
      <c r="A100" s="4"/>
    </row>
    <row r="101" spans="1:1" s="7" customFormat="1" x14ac:dyDescent="0.3">
      <c r="A101" s="4"/>
    </row>
    <row r="102" spans="1:1" s="7" customFormat="1" x14ac:dyDescent="0.3">
      <c r="A102" s="4"/>
    </row>
    <row r="103" spans="1:1" s="7" customFormat="1" x14ac:dyDescent="0.3">
      <c r="A103" s="4"/>
    </row>
    <row r="104" spans="1:1" s="7" customFormat="1" x14ac:dyDescent="0.3">
      <c r="A104" s="4"/>
    </row>
    <row r="105" spans="1:1" s="7" customFormat="1" x14ac:dyDescent="0.3">
      <c r="A105" s="4"/>
    </row>
    <row r="106" spans="1:1" s="7" customFormat="1" x14ac:dyDescent="0.3">
      <c r="A106" s="4"/>
    </row>
    <row r="107" spans="1:1" s="7" customFormat="1" x14ac:dyDescent="0.3">
      <c r="A107" s="4"/>
    </row>
    <row r="108" spans="1:1" s="7" customFormat="1" x14ac:dyDescent="0.3">
      <c r="A108" s="4"/>
    </row>
    <row r="109" spans="1:1" s="7" customFormat="1" x14ac:dyDescent="0.3">
      <c r="A109" s="4"/>
    </row>
    <row r="110" spans="1:1" s="7" customFormat="1" x14ac:dyDescent="0.3">
      <c r="A110" s="4"/>
    </row>
    <row r="111" spans="1:1" s="7" customFormat="1" x14ac:dyDescent="0.3">
      <c r="A111" s="4"/>
    </row>
    <row r="112" spans="1:1" s="7" customFormat="1" x14ac:dyDescent="0.3">
      <c r="A112" s="4"/>
    </row>
    <row r="113" spans="1:1" s="7" customFormat="1" x14ac:dyDescent="0.3">
      <c r="A113" s="4"/>
    </row>
    <row r="114" spans="1:1" s="7" customFormat="1" x14ac:dyDescent="0.3">
      <c r="A114" s="4"/>
    </row>
    <row r="115" spans="1:1" s="7" customFormat="1" x14ac:dyDescent="0.3">
      <c r="A115" s="4"/>
    </row>
    <row r="116" spans="1:1" s="7" customFormat="1" x14ac:dyDescent="0.3">
      <c r="A116" s="4"/>
    </row>
    <row r="117" spans="1:1" s="7" customFormat="1" x14ac:dyDescent="0.3">
      <c r="A117" s="4"/>
    </row>
    <row r="118" spans="1:1" s="7" customFormat="1" x14ac:dyDescent="0.3">
      <c r="A118" s="4"/>
    </row>
    <row r="119" spans="1:1" s="7" customFormat="1" x14ac:dyDescent="0.3">
      <c r="A119" s="4"/>
    </row>
    <row r="120" spans="1:1" s="7" customFormat="1" x14ac:dyDescent="0.3">
      <c r="A120" s="4"/>
    </row>
    <row r="121" spans="1:1" s="7" customFormat="1" x14ac:dyDescent="0.3">
      <c r="A121" s="4"/>
    </row>
    <row r="122" spans="1:1" s="7" customFormat="1" x14ac:dyDescent="0.3">
      <c r="A122" s="4"/>
    </row>
    <row r="123" spans="1:1" s="7" customFormat="1" x14ac:dyDescent="0.3">
      <c r="A123" s="4"/>
    </row>
    <row r="124" spans="1:1" s="7" customFormat="1" x14ac:dyDescent="0.3">
      <c r="A124" s="4"/>
    </row>
    <row r="125" spans="1:1" s="7" customFormat="1" x14ac:dyDescent="0.3">
      <c r="A125" s="4"/>
    </row>
    <row r="126" spans="1:1" s="7" customFormat="1" x14ac:dyDescent="0.3">
      <c r="A126" s="4"/>
    </row>
    <row r="127" spans="1:1" s="7" customFormat="1" x14ac:dyDescent="0.3">
      <c r="A127" s="4"/>
    </row>
    <row r="128" spans="1:1" s="7" customFormat="1" x14ac:dyDescent="0.3">
      <c r="A128" s="4"/>
    </row>
    <row r="129" spans="1:1" s="7" customFormat="1" x14ac:dyDescent="0.3">
      <c r="A129" s="4"/>
    </row>
    <row r="130" spans="1:1" s="7" customFormat="1" x14ac:dyDescent="0.3">
      <c r="A130" s="4"/>
    </row>
    <row r="131" spans="1:1" s="7" customFormat="1" x14ac:dyDescent="0.3">
      <c r="A131" s="4"/>
    </row>
    <row r="132" spans="1:1" s="7" customFormat="1" x14ac:dyDescent="0.3">
      <c r="A132" s="4"/>
    </row>
    <row r="133" spans="1:1" s="7" customFormat="1" x14ac:dyDescent="0.3">
      <c r="A133" s="4"/>
    </row>
    <row r="134" spans="1:1" s="7" customFormat="1" x14ac:dyDescent="0.3">
      <c r="A134" s="4"/>
    </row>
    <row r="135" spans="1:1" s="7" customFormat="1" x14ac:dyDescent="0.3">
      <c r="A135" s="4"/>
    </row>
    <row r="136" spans="1:1" s="7" customFormat="1" x14ac:dyDescent="0.3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Diego dos Santos</cp:lastModifiedBy>
  <dcterms:created xsi:type="dcterms:W3CDTF">2024-12-19T13:13:10Z</dcterms:created>
  <dcterms:modified xsi:type="dcterms:W3CDTF">2026-10-14T18:24:58Z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